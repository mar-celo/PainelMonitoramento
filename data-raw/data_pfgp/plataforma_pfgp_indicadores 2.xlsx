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esley.jesus\Documents\PainelMonitoramento\data-raw\data_pfgp\"/>
    </mc:Choice>
  </mc:AlternateContent>
  <xr:revisionPtr revIDLastSave="0" documentId="13_ncr:1_{8E105638-DEBE-4819-9377-EA7A427859BF}" xr6:coauthVersionLast="47" xr6:coauthVersionMax="47" xr10:uidLastSave="{00000000-0000-0000-0000-000000000000}"/>
  <bookViews>
    <workbookView xWindow="-120" yWindow="-120" windowWidth="29040" windowHeight="15840" xr2:uid="{E40FA4F7-9C2D-425A-B6CE-BAADE3E52F77}"/>
  </bookViews>
  <sheets>
    <sheet name="Indicadores PFGP" sheetId="2" r:id="rId1"/>
    <sheet name="Mapeamento informações" sheetId="4" r:id="rId2"/>
    <sheet name="Modelo Dados" sheetId="3" r:id="rId3"/>
    <sheet name="Marco Lógico Políticas" sheetId="1" r:id="rId4"/>
    <sheet name="Planilha1" sheetId="5" r:id="rId5"/>
  </sheets>
  <definedNames>
    <definedName name="_xlnm._FilterDatabase" localSheetId="1" hidden="1">'Mapeamento informações'!$A$1:$I$106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4" l="1"/>
  <c r="B23" i="4"/>
  <c r="B46" i="4"/>
  <c r="B79" i="4"/>
  <c r="B52" i="4"/>
  <c r="B30" i="4"/>
  <c r="B48" i="4"/>
  <c r="B72" i="4"/>
  <c r="B33" i="4"/>
  <c r="B32" i="4"/>
  <c r="B26" i="4"/>
  <c r="B25" i="4"/>
  <c r="B19" i="4"/>
  <c r="B18" i="4"/>
  <c r="B82" i="4"/>
  <c r="B83" i="4"/>
  <c r="B84" i="4"/>
  <c r="B85" i="4"/>
  <c r="B75" i="4"/>
  <c r="B76" i="4"/>
  <c r="B77" i="4"/>
  <c r="B78" i="4"/>
  <c r="B80" i="4"/>
  <c r="B68" i="4"/>
  <c r="B69" i="4"/>
  <c r="B70" i="4"/>
  <c r="B71" i="4"/>
  <c r="B73" i="4"/>
  <c r="B63" i="4"/>
  <c r="B64" i="4"/>
  <c r="B65" i="4"/>
  <c r="B66" i="4"/>
  <c r="B62" i="4"/>
  <c r="B58" i="4"/>
  <c r="B59" i="4"/>
  <c r="B60" i="4"/>
  <c r="B61" i="4"/>
  <c r="B57" i="4"/>
  <c r="B67" i="4"/>
  <c r="B74" i="4"/>
  <c r="B81" i="4"/>
  <c r="B56" i="4"/>
  <c r="B55" i="4"/>
  <c r="B54" i="4"/>
  <c r="B21" i="4"/>
  <c r="B22" i="4"/>
  <c r="B24" i="4"/>
  <c r="B27" i="4"/>
  <c r="B28" i="4"/>
  <c r="B29" i="4"/>
  <c r="B31" i="4"/>
  <c r="B34" i="4"/>
  <c r="B35" i="4"/>
  <c r="B36" i="4"/>
  <c r="B37" i="4"/>
  <c r="B38" i="4"/>
  <c r="B47" i="4"/>
  <c r="B49" i="4"/>
  <c r="B51" i="4"/>
  <c r="B53" i="4"/>
  <c r="B20" i="4"/>
</calcChain>
</file>

<file path=xl/sharedStrings.xml><?xml version="1.0" encoding="utf-8"?>
<sst xmlns="http://schemas.openxmlformats.org/spreadsheetml/2006/main" count="1904" uniqueCount="508">
  <si>
    <t>id_indicador</t>
  </si>
  <si>
    <t>Projeto Estruturante</t>
  </si>
  <si>
    <t>Indicador</t>
  </si>
  <si>
    <t>Descrição</t>
  </si>
  <si>
    <t>Difculdade de obtenção</t>
  </si>
  <si>
    <t>Fonte</t>
  </si>
  <si>
    <t>Status</t>
  </si>
  <si>
    <t>Dimensão 1: Planejamento, Diagnóstico da Força de Trabalho e Processo Seletivo​</t>
  </si>
  <si>
    <t>Dimensão 2: Carreiras, Cargos, Progressão e Promoção​</t>
  </si>
  <si>
    <t>Dimensão 3: Alocação, Ambientação, Estágio Probatório e Bem-Estar​</t>
  </si>
  <si>
    <t>Dimensão 4: Desenvolvimento e Desempenho de Pessoas e Formação de Lideranças Públicas​</t>
  </si>
  <si>
    <t>Dimensão 5: Remuneração, Benefícios, Reconhecimento e Recompensas Não Pecuniárias​</t>
  </si>
  <si>
    <t>Dimensão 6: Aposentação, Pensões e Desligamentos</t>
  </si>
  <si>
    <t>Frequência de Coleta</t>
  </si>
  <si>
    <t>Meta</t>
  </si>
  <si>
    <t>Obs</t>
  </si>
  <si>
    <t>Percentual de conclusão do mínimo de 50% do PDI após um ano de ingresso</t>
  </si>
  <si>
    <t>DIGID</t>
  </si>
  <si>
    <t>Sim, D4, P13</t>
  </si>
  <si>
    <t>Externa à DIGID</t>
  </si>
  <si>
    <t>Gestão de RH – Atividades e Processos</t>
  </si>
  <si>
    <t>Produto</t>
  </si>
  <si>
    <t>ENAP</t>
  </si>
  <si>
    <t>Depende de levantamento junto à ENAP ou às UGPs da relação de matriculados no PDI</t>
  </si>
  <si>
    <t>2 - A agendar com unidade responsável</t>
  </si>
  <si>
    <t>Percentual de conclusão de 100% do PDI após dois anos de ingresso</t>
  </si>
  <si>
    <t>Dimensão 5: Remuneração, Benefícios, Reconhecimento e Recompensas Não Pecuniárias</t>
  </si>
  <si>
    <t xml:space="preserve">POLÍTICA FEDERAL DE REMUNERAÇÕES: FOLHA DE PAGAMENTOS E CONSIGNAÇÕES </t>
  </si>
  <si>
    <t>Percepção de justiça remuneratória</t>
  </si>
  <si>
    <t>Justiça remuneratória</t>
  </si>
  <si>
    <t>Sim, D2, P6
Sim, D5, P15</t>
  </si>
  <si>
    <t>Vozes</t>
  </si>
  <si>
    <t>Sou remunerado(a) de maneira justa por minha responsabilidade no trabalho.; Sou remunerado(a) de maneira justa pela qualidade do trabalho que apresento.; Comparando-me aos demais servidores públicos efetivos que possuem atribuições semelhantes às minhas, recebo uma remuneração justa.</t>
  </si>
  <si>
    <t>Gestão de RH – Resultados</t>
  </si>
  <si>
    <t>Impacto</t>
  </si>
  <si>
    <t>Pesquisa Vozes 1 e 2</t>
  </si>
  <si>
    <t>6 - No shiny</t>
  </si>
  <si>
    <t>Percentual de atendimento ao DDFT</t>
  </si>
  <si>
    <t>Sim, D1, P1</t>
  </si>
  <si>
    <t>DEPRO</t>
  </si>
  <si>
    <t>4 - Dados em processo de obtenção</t>
  </si>
  <si>
    <t>equidade de distribuição dos servidores públicos, vis a vis distribuição demográfica na população, por: 1) gênero; 2) raça; 3) origem territorial; 4) faixa etária</t>
  </si>
  <si>
    <t>Equidade de acesso</t>
  </si>
  <si>
    <t>Sim, D1, P2</t>
  </si>
  <si>
    <t>SIGEPE /Censo Demográfico</t>
  </si>
  <si>
    <t>SIAPE</t>
  </si>
  <si>
    <t>Servidores Estatutários?</t>
  </si>
  <si>
    <t>Sim</t>
  </si>
  <si>
    <r>
      <rPr>
        <sz val="11"/>
        <color rgb="FF000000"/>
        <rFont val="Aptos Narrow"/>
      </rPr>
      <t xml:space="preserve">Distribuição </t>
    </r>
    <r>
      <rPr>
        <b/>
        <sz val="11"/>
        <color rgb="FF000000"/>
        <rFont val="Aptos Narrow"/>
      </rPr>
      <t xml:space="preserve">planejada </t>
    </r>
    <r>
      <rPr>
        <sz val="11"/>
        <color rgb="FF000000"/>
        <rFont val="Aptos Narrow"/>
      </rPr>
      <t>por forma de provimento (estatutário, temporário, emprego público, comissionado)</t>
    </r>
  </si>
  <si>
    <t>Provimento</t>
  </si>
  <si>
    <t>Sim, D1, P3</t>
  </si>
  <si>
    <t>Atividade</t>
  </si>
  <si>
    <t>Depende de dados de provimento de vagas (DEPRO)</t>
  </si>
  <si>
    <r>
      <rPr>
        <sz val="11"/>
        <color rgb="FF000000"/>
        <rFont val="Aptos Narrow"/>
        <scheme val="minor"/>
      </rPr>
      <t xml:space="preserve">Distribuição </t>
    </r>
    <r>
      <rPr>
        <b/>
        <sz val="11"/>
        <color rgb="FF000000"/>
        <rFont val="Aptos Narrow"/>
        <scheme val="minor"/>
      </rPr>
      <t xml:space="preserve">observada </t>
    </r>
    <r>
      <rPr>
        <sz val="11"/>
        <color rgb="FF000000"/>
        <rFont val="Aptos Narrow"/>
        <scheme val="minor"/>
      </rPr>
      <t>por forma de provimento (estatutário, temporário, emprego público, comissionado)</t>
    </r>
  </si>
  <si>
    <t>SIGEPE</t>
  </si>
  <si>
    <t>5 - Dados disponíveis/obtidos</t>
  </si>
  <si>
    <t xml:space="preserve">Percentual de servidores movimentados entre áreas temáticas, órgãos ou secretarias (de carreiras transversais / não transversais) </t>
  </si>
  <si>
    <t>Sim, D1, P4</t>
  </si>
  <si>
    <t>Depende da elaboração do rastreio de mudanças no nome das UORGs, órgãos e secretarias. Depende da construção longitudinal das UORGs de vínculo por CPF/matrícula SIAPE</t>
  </si>
  <si>
    <t>indicadores de turnover;</t>
  </si>
  <si>
    <t>Sim, D3, P7
Sim, D3, P8
Sim, D3, P10</t>
  </si>
  <si>
    <t>Objetivos
organizacionais</t>
  </si>
  <si>
    <t>Resultado</t>
  </si>
  <si>
    <t>Taxa de absenteísmo;</t>
  </si>
  <si>
    <t>Sim, D3, P9
Sim, D3, P8</t>
  </si>
  <si>
    <t>SIASS</t>
  </si>
  <si>
    <t>Taxa de absenteísmo por determinadas CID´s;</t>
  </si>
  <si>
    <t>Sim, D3, P9</t>
  </si>
  <si>
    <t>Depende de acesso ao SIASS (DIPAS)</t>
  </si>
  <si>
    <t>Percepção de segurança psicológica</t>
  </si>
  <si>
    <t>Clima organizacional</t>
  </si>
  <si>
    <t>Sim, D3, P7
Sim, D3, P8
Sim, D3, P9
Sim, D3, P10</t>
  </si>
  <si>
    <t>Na minha equipe, as pessoas diferentes são acolhidas.; É fácil pedir ajuda a outros membros dessa equipe.; Membros da minha equipe respeitam e valorizam as contribuições uns dos outros.</t>
  </si>
  <si>
    <t>Percentual de servidores submetidos à avaliação de desempenho</t>
  </si>
  <si>
    <t>Sim, D4, P11</t>
  </si>
  <si>
    <t>Mapear fonte</t>
  </si>
  <si>
    <t>Depende de acesso a dados com a unidade responsável</t>
  </si>
  <si>
    <t>1 - Mapear fonte</t>
  </si>
  <si>
    <t>% de servidores submetidos à avaliação de desempenho 360º (?)</t>
  </si>
  <si>
    <t>Não</t>
  </si>
  <si>
    <t>_</t>
  </si>
  <si>
    <t>A avaliar</t>
  </si>
  <si>
    <t>Percentual de servidores com mapeamento do perfil de competências / perfil profissiográfico</t>
  </si>
  <si>
    <t>Sim, D3, P7
Sim, D4, P13</t>
  </si>
  <si>
    <t>Percentual de órgãos com PNDP atualizado</t>
  </si>
  <si>
    <t>Sim, D4, P12</t>
  </si>
  <si>
    <t>Insumo</t>
  </si>
  <si>
    <t>Percentual de atendimento do PNDP</t>
  </si>
  <si>
    <t>% de servidores submetidos à avaliação de competências de liderança</t>
  </si>
  <si>
    <t>Insistir no retorno?</t>
  </si>
  <si>
    <t>número de servidores formados pelo LideraGov por: 1) gênero; 2) raça; 3) origem territorial; 4) faixa etária</t>
  </si>
  <si>
    <t>Liderança</t>
  </si>
  <si>
    <t>Sim, D4, P14</t>
  </si>
  <si>
    <t>3 - Reunião agendada com unidade responsável</t>
  </si>
  <si>
    <t>Percentual de cargos de liderança reservados a servidores estatutários</t>
  </si>
  <si>
    <t>Percentual de cargos de liderança reservados a mulheres</t>
  </si>
  <si>
    <t>Percentual de cargos de liderança reservados a pessoas negras</t>
  </si>
  <si>
    <t>Percentual de cargos de liderança ocupados por pessoas negras</t>
  </si>
  <si>
    <t>Percentual de cargos de liderança ocupados por mulheres</t>
  </si>
  <si>
    <t>Percentual de cargos de liderança ocupados por servidores estatutários</t>
  </si>
  <si>
    <t>Percentual de cargos de liderança por origem territorial</t>
  </si>
  <si>
    <r>
      <t xml:space="preserve">indicadores de </t>
    </r>
    <r>
      <rPr>
        <i/>
        <sz val="9"/>
        <color rgb="FF000000"/>
        <rFont val="Aptos Narrow"/>
        <charset val="1"/>
      </rPr>
      <t>turnover</t>
    </r>
    <r>
      <rPr>
        <sz val="9"/>
        <color rgb="FF000000"/>
        <rFont val="Aptos Narrow"/>
        <charset val="1"/>
      </rPr>
      <t xml:space="preserve"> de lideranças</t>
    </r>
  </si>
  <si>
    <t>Oportunidade de capacitação</t>
  </si>
  <si>
    <t>Capacitação</t>
  </si>
  <si>
    <t>Vozes - Tenho oportunidades de capacitação suficientes no trabalho para desempenhar minhas tarefas com qualidade.</t>
  </si>
  <si>
    <t>Pesquisa Vozes 2</t>
  </si>
  <si>
    <t>Percepções da relação Liderança - servidor(a)</t>
  </si>
  <si>
    <t>Vozes - insistir no retorno?</t>
  </si>
  <si>
    <t>Vozes - Liderança - servidor(a) : Conversa comigo sobre o meu desempenho.; Ajuda a definir ações para aperfeiçoar o meu desempenho.; Oferece apoio técnico quando converso sobre dificuldades na execução das tarefas.;</t>
  </si>
  <si>
    <t xml:space="preserve">Pesquisa Vozes 2 </t>
  </si>
  <si>
    <t>Dados Obtidos</t>
  </si>
  <si>
    <t>Percepções da relação Liderança - equipe</t>
  </si>
  <si>
    <t>Liderança - equipe: Orienta a equipe sobre objetivos a serem alcançados em determinado prazo.; Informa à equipe como os objetivos se alinham à estratégia da organização.; Estabelece com a equipe metas realizáveis.; Considera a complexidade das atividades na definição dos prazos das entregas da equipe.; Reforça a importância das entregas da equipe e as consequências de não as realizar.; Emprega esforços para o bem-estar da equipe.; Incentiva a colaboração entre membros da equipe.; Incentiva a equipe a apresentar ideias e sugestões sobre o trabalho.; Respeita as ideias dos membros da equipe.; Comunica à equipe se a entrega está sendo executada conforme os critérios pactuados.; Planeja com a equipe formas de corrigir erros na execução das entregas.; Reconhece as contribuições da equipe para o alcance das metas.</t>
  </si>
  <si>
    <t>Percepções das atitudes de liderança</t>
  </si>
  <si>
    <t xml:space="preserve">Assegura que a equipe tenha um entendimento claro do seu propósito.
Sugere novas formas de se pensar como realizar o trabalho
Fomenta um ambiente que valoriza a comunicação transparente e profissional
Ajuda diferentes equipes a se comunicarem entre si
Promove interesses da unidade em equilíbrio com as necessidades dos usuários finais
Age como um mentor, compartilhando experiências e lições aprendidas
Busca constantemente oportunidades de autodesenvolvimento com base na identificação de seus pontos fortes e necessidades de desenvolvimento.
Incentiva membros da equipe a participarem de ações de desenvolvimento (curso, oficina, palestra, congresso, entre outros).
Ajuda a equipe a desenvolver soluções para problemas de relacionamento
Comunica o que é esperado da equipe
</t>
  </si>
  <si>
    <t>Pesquisa Vozes 1</t>
  </si>
  <si>
    <t>Percentual do número de cargos em carreiras transversais</t>
  </si>
  <si>
    <t>Carreiras</t>
  </si>
  <si>
    <t>Sim, D2, P5</t>
  </si>
  <si>
    <t>Percentual de servidores ativos em carreiras transversais</t>
  </si>
  <si>
    <t>Percentual de servidoras mulheres em carreiras transversais / não transversais / total</t>
  </si>
  <si>
    <t>Percentual de servidores negros em carreiras transversais / não transversais / total</t>
  </si>
  <si>
    <t>Percentual do número de cargos no PGPE e em Plano de Cargos Especiais (sem carreiras)</t>
  </si>
  <si>
    <t>repetido</t>
  </si>
  <si>
    <t>Percepções sobre critérios de promoção</t>
  </si>
  <si>
    <t>Promoção</t>
  </si>
  <si>
    <t>Sim, D2, P6</t>
  </si>
  <si>
    <t>Vozes - Critérios de promoção: Experiência profissional; Desempenho profissional; Formação educacional; Redes de relacionamento; Apoio de um político ou de alguém com conexões políticas</t>
  </si>
  <si>
    <t>Satisfação no trabalho</t>
  </si>
  <si>
    <t>Sim, D5, P16</t>
  </si>
  <si>
    <t>Vozes - Estou satisfeito(a) com meu trabalho.; Quero deixar de trabalhar no setor público.</t>
  </si>
  <si>
    <t>Percentual de servidores com abono permanência</t>
  </si>
  <si>
    <t>Sim, D6, P19</t>
  </si>
  <si>
    <t>SIGEPE?</t>
  </si>
  <si>
    <t>1. Planejamento da Força de Trabalho</t>
  </si>
  <si>
    <t>DIAGNÓSTICO/DIMENSIONAMENTO DA FORÇA DE TRABALHO (DDFT)</t>
  </si>
  <si>
    <t>Percentual de órgãos com DDFT atualizado sistematizado</t>
  </si>
  <si>
    <t>PFGP 2030</t>
  </si>
  <si>
    <t>Trata-se de um dashboard não publicado. O ideal seria partir da mesma fonte de dados utilizado nesse dashboard</t>
  </si>
  <si>
    <t>Ocasional</t>
  </si>
  <si>
    <t>Dezembro/último mês</t>
  </si>
  <si>
    <t xml:space="preserve">MOVIMENTAÇÃO DE PESSOAL: CESSÃO, 
REQUISIÇÃO, COMPOSIÇÃO DA FORÇA DE TRABALHO E EXERCÍCIO DESCENTRALIZADO </t>
  </si>
  <si>
    <t>Percentual de movimentações vinculadas a necessidades estratégicas previamente identificadas</t>
  </si>
  <si>
    <t>Dificuldade para certificar que a movimentação foi motivada por um planejamento prévio</t>
  </si>
  <si>
    <t>PROVISÃO DA FORÇA DE TRABALHO:  CONCURSO PÚBLICO, CONTRATO  TEMPORÁRIO, PROGRAMA DE ESTÁGIO E  EMPREGO PÚBLICO</t>
  </si>
  <si>
    <t>Percentual de provimentos aderentes ao planejamento da força de trabalho</t>
  </si>
  <si>
    <t>Dificuldade para certificar que o ingresso foi motivado por um planejamento prévio</t>
  </si>
  <si>
    <t>Percentual de Pessoas Negras em Liderança</t>
  </si>
  <si>
    <t>Publicado</t>
  </si>
  <si>
    <t>https://wesleysilva88.github.io/teste_consolida_indexes/</t>
  </si>
  <si>
    <t>Dimensão 2: Carreiras, cargos e progressão</t>
  </si>
  <si>
    <t xml:space="preserve">RACIONALIZAÇÃO DO SISTEMA DE CARREIRAS E CARGOS: CRIAÇÃO, TRANSFORMAÇÃO, EXTINÇÃO E REDESENHO DE CARGOS E CARREIRAS </t>
  </si>
  <si>
    <t>Redução do número de estruturas excessivamente fragmentadas</t>
  </si>
  <si>
    <t>Dificuldade para definir, de forma sistemática, o excesso de fragmentação da estrutura</t>
  </si>
  <si>
    <t xml:space="preserve">Percentual de carreiras com desenho compatível com parâmetros de transversalidade, coerência funcional e racionalidade organizacional. </t>
  </si>
  <si>
    <t>Depende da avaliação desses critérios pela área responsável (DECAR)</t>
  </si>
  <si>
    <t xml:space="preserve">Percentual de decisões estratégicas sobre carreiras submetidas a critérios e fluxos institucionalizados. </t>
  </si>
  <si>
    <t>PROGRESSÃO E PROMOÇÃO FUNCIONAL: VALORIZAÇÃO PROFISSIONAL NAS CARREIRAS</t>
  </si>
  <si>
    <t>Percentual de carreiras com critérios formalizados e transparentes de progressão/promoção</t>
  </si>
  <si>
    <t>insistir no retorno?</t>
  </si>
  <si>
    <t>Dimensão 3: alocação, ambientação e bem-estar</t>
  </si>
  <si>
    <t xml:space="preserve">ALOCAÇÃO ESTRATÉGICA: PERFIL PROFISSIOGRÁFICO E CURRÍCULO &amp; OPORTUNIDADES </t>
  </si>
  <si>
    <t xml:space="preserve">Percentual de novos ingressantes alocados com base em perfil profissiográfico. </t>
  </si>
  <si>
    <t>Depende de indicador sistêmico sobre preechimento e uso de perfil profissiográfico</t>
  </si>
  <si>
    <t>Percentual de órgãos com processo estruturado de alocação inicial e ambientação institucional</t>
  </si>
  <si>
    <t>Depende de levantamento junto às UGPs</t>
  </si>
  <si>
    <t xml:space="preserve">AMBIENTAÇÃO E GESTÃO DO ESTÁGIO PROBATÓRIO </t>
  </si>
  <si>
    <t>Percentual de recém-ingressos alcançados por ações de desenvolvimento no estágio probatório</t>
  </si>
  <si>
    <t>Percentual de novos servidores atentidos por programas de desenvolvimento inicial</t>
  </si>
  <si>
    <t xml:space="preserve">SUBSISTEMA INTEGRADO DE ATENÇÃO À SAÚDE DO SERVIDOR PÚBLICO FEDERAL (SIASS) </t>
  </si>
  <si>
    <t>Percentual de órgãos cobertos por ações estruturadas de promoção da saúde</t>
  </si>
  <si>
    <t>ENFRENTAMENTO DO ASSÉDIO E DA DISCRIMINAÇÃO (PFPEAD)</t>
  </si>
  <si>
    <t>Percentual de órgãos com estratégias de prevenção e enfrentamento do assédio e da discriminação</t>
  </si>
  <si>
    <t>Percentual de servidores
alcançados por exames
médicos periódicos e ações
preventivas.</t>
  </si>
  <si>
    <t>Dimensão 4: Desenvolvimento e Desempenho</t>
  </si>
  <si>
    <t xml:space="preserve">GESTÃO E DESEMPENHO (PGD) </t>
  </si>
  <si>
    <t xml:space="preserve">Percentual de órgãos e entidades com PGD implementado. </t>
  </si>
  <si>
    <t>Gestão de desempenho</t>
  </si>
  <si>
    <t>A calcular</t>
  </si>
  <si>
    <t>Percentual de servidores abrangidos por planos de trabalho pactuados por entregas (PGD)</t>
  </si>
  <si>
    <t>Percentual de órgãos com uso sistemático de informações de desempenho para tomada de decisão</t>
  </si>
  <si>
    <t>DESENVOLVIMENTO PROFISSIONAL (PNDP)</t>
  </si>
  <si>
    <t>Percentual de ações de desenvolvimento vinculadas a necessidades previamente identificadas</t>
  </si>
  <si>
    <t>Não (atendimento PNDP)</t>
  </si>
  <si>
    <t>Percentual de ocupação de funções estratégicas via seleção estruturada</t>
  </si>
  <si>
    <t>Existência de diretrizes formalizadas para a política remuneratória.</t>
  </si>
  <si>
    <t>Percentual de estruturas remuneratórias monitoradas por sistema integrado</t>
  </si>
  <si>
    <t>Índice de desigualdade de remuneração</t>
  </si>
  <si>
    <t xml:space="preserve">Sim, D5, P15
Sim, D5, P16 </t>
  </si>
  <si>
    <t>https://github.com/mar-celo/Indice_de_Gini</t>
  </si>
  <si>
    <t xml:space="preserve">Dimensão 6: Aposentação, Pensões e Desligamentos </t>
  </si>
  <si>
    <t xml:space="preserve">POLÍTICA FEDERAL DE APOSENTAÇÃO: 
PREPARAÇÃO E TRANSIÇÃO PARA A APOSENTADORIA, VALORIZAÇÃO DO LEGADO E PENSÕES </t>
  </si>
  <si>
    <t>Percentual de órgãos com ações estruturadas de preparação para a inatividade</t>
  </si>
  <si>
    <t>MODERNIZAÇÃO, DIGITALIZAÇÃO, GESTÃO E CONFORMIDADE DO RPPS</t>
  </si>
  <si>
    <t>Percentual de assentamentos digitalizados (RPPS)</t>
  </si>
  <si>
    <t>Sim, D6, P20</t>
  </si>
  <si>
    <t>Tempo médio de tramitação e atendimento em processos de aposentadoria e pensão</t>
  </si>
  <si>
    <t>Depende de acesso a dados de tramitação de processos (SEI/DIPAS)</t>
  </si>
  <si>
    <t>Projeções de aposentadoria</t>
  </si>
  <si>
    <t>Percentual de processos apoiados por fluxos digitais e automação</t>
  </si>
  <si>
    <t>indicador de racionalidade de carreiras (?)</t>
  </si>
  <si>
    <t>Falta definição de 'racionalidade'</t>
  </si>
  <si>
    <t>indicador de racionalidade de estruturas remuneratórias (?)</t>
  </si>
  <si>
    <t>Percentual do número de servidores ativos no PGPE e Plano de Cargos Especiais</t>
  </si>
  <si>
    <t>Depende da relação de carreiras e cargos</t>
  </si>
  <si>
    <t>Tempo médio de permanência dos servidores por lotação (transversais / não transversais, em áreas temáticas, em órgãos, em secretarias)</t>
  </si>
  <si>
    <t xml:space="preserve">SIAPE  </t>
  </si>
  <si>
    <t>histograma da distribuição dos servidores de carreiras transversais / não transversais por número de áreas temáticas e órgãos em que atuaram</t>
  </si>
  <si>
    <t>Não é um indicador, porém uma visualização de indicador</t>
  </si>
  <si>
    <t>Excluído</t>
  </si>
  <si>
    <t>Percepção de engajamento no trabalho</t>
  </si>
  <si>
    <t>Sim, D5, P16
Sim, D5, P18</t>
  </si>
  <si>
    <t>Meu trabalho é inspirador; Estou entusiasmado(a) com meu trabalho.; Tenho orgulho do trabalho que realizo.; Sinto-me envolvido(a) com o trabalho que faço.</t>
  </si>
  <si>
    <t>indicador de valorização e reconhecimento não pecuniário (?)</t>
  </si>
  <si>
    <t>Sim, D5, P18</t>
  </si>
  <si>
    <t>Depende de critérios de definição junto à unidade responsável</t>
  </si>
  <si>
    <t>Percentual de ingressantes por meio de processo seletivo unificado</t>
  </si>
  <si>
    <t>Indicadores de clima e percepção de respeito no ambiente de trabalho</t>
  </si>
  <si>
    <t>Sim, D3, P10</t>
  </si>
  <si>
    <t>Vozes?</t>
  </si>
  <si>
    <t>Vozes 1 - Quando tenho um bom desempenho, ganho reconhecimento e respeito de meus colegas.</t>
  </si>
  <si>
    <t>Percepção de desempenho de equipe</t>
  </si>
  <si>
    <t xml:space="preserve">Vozes 1 - Os produtos e/ou serviços entregues pela minha equipe são considerados satisfatórios pelas pessoas que o recebem; Minha equipe cumpre os prazos estabelecidos para a execução do trabalho; Minha equipe cumpre as metas estabelecidas;
Vozes 2 - Os produtos e/ou serviços entregues pela minha equipe são considerados satisfatórios pelas pessoas que os recebem;  Minha equipe cumpre os prazos estabelecidos para a execução do trabalho; 
Minha equipe cumpre as metas estabelecidas;Minha equipe responde com agilidade a novas demandas de trabalho
</t>
  </si>
  <si>
    <t>Percepção de desempenho organizacional</t>
  </si>
  <si>
    <t xml:space="preserve">Vozes 1 - A organização na qual trabalho presta um bom serviço aos cidadãos ou clientes;
De forma geral, a organização na qual trabalho apresenta um desempenho muito bom;
A organização na qual trabalho realiza uma gestão adequada de recursos públicos;
Vozes 2 - A organização na qual trabalho presta um bom serviço aos cidadãos ou clientes;
De forma geral, a organização na qual trabalho apresenta um desempenho muito bom;
A organização na qual trabalho realiza uma gestão adequada de recursos públicos.
</t>
  </si>
  <si>
    <t>Intenção de saída / permanência</t>
  </si>
  <si>
    <t>Sim, D5, P17</t>
  </si>
  <si>
    <t>Vozes 1 - Quero deixar de trabalhar no setor público;
Penso em trabalhar em outra organização pública;
Planejo atuar em outra equipe da organização na qual trabalho;
Vozes 2 - Quero deixar de trabalhar no setor público.</t>
  </si>
  <si>
    <t>Percepção de justiça organizacional relacionada a direitos e deveres laborais</t>
  </si>
  <si>
    <t>Indicador_copy</t>
  </si>
  <si>
    <t>Conceito</t>
  </si>
  <si>
    <t>Campo</t>
  </si>
  <si>
    <t>Unidade Responsável</t>
  </si>
  <si>
    <t>Sistema</t>
  </si>
  <si>
    <t>Tabela</t>
  </si>
  <si>
    <t>Agregações mínimas</t>
  </si>
  <si>
    <t>Órgão</t>
  </si>
  <si>
    <t>SG_ORGAO</t>
  </si>
  <si>
    <t>Sigla do Órgão</t>
  </si>
  <si>
    <t>DataBricks</t>
  </si>
  <si>
    <t>Tabelão</t>
  </si>
  <si>
    <t>CO_ORGAO</t>
  </si>
  <si>
    <t>Código do Órgão</t>
  </si>
  <si>
    <t>COD ÓRGÃO</t>
  </si>
  <si>
    <t>DW-SIAPE</t>
  </si>
  <si>
    <t>ÓRGÃO</t>
  </si>
  <si>
    <t>Nome do Órgão</t>
  </si>
  <si>
    <t>NO_ORGAO</t>
  </si>
  <si>
    <t>Natureza Jurídica</t>
  </si>
  <si>
    <t>NO_NATUREZA_JURIDICA</t>
  </si>
  <si>
    <t>Agrupamento de Natureza Jurídica (definição DW)</t>
  </si>
  <si>
    <t>agrup_orgao2</t>
  </si>
  <si>
    <t>Agrupamento de Natureza Jurídica (Definição Vozes)</t>
  </si>
  <si>
    <t>Arquivo CSV</t>
  </si>
  <si>
    <t>Pesquisa Vozes</t>
  </si>
  <si>
    <t>NATUREZA JURÍDICA</t>
  </si>
  <si>
    <t>Cor/origem étnica</t>
  </si>
  <si>
    <t>NO_COR_ORIGEM_ETNICA</t>
  </si>
  <si>
    <t>COR ORIGEM ETNICA</t>
  </si>
  <si>
    <t>Sexo</t>
  </si>
  <si>
    <t>CO_SEXO</t>
  </si>
  <si>
    <t>Código Sexo</t>
  </si>
  <si>
    <t>SEXO</t>
  </si>
  <si>
    <t>Naturalidade</t>
  </si>
  <si>
    <t>CO_UF_NATURALIDADE</t>
  </si>
  <si>
    <t>UF de NATURALIDADE</t>
  </si>
  <si>
    <t>NO_REGIAO_NATURALIDADE</t>
  </si>
  <si>
    <t>Regiao de naturalidade</t>
  </si>
  <si>
    <t>UF NATURALIDADE</t>
  </si>
  <si>
    <t>Período (mês ou ano)</t>
  </si>
  <si>
    <t>MÊS</t>
  </si>
  <si>
    <t>Mês-ano de referência (Mmm AAAA, ex. Dez 2026)</t>
  </si>
  <si>
    <t>Função</t>
  </si>
  <si>
    <t>FUNÇÃO</t>
  </si>
  <si>
    <t>Nível da função</t>
  </si>
  <si>
    <t>NÍVEL FUNÇÃO</t>
  </si>
  <si>
    <t>SG_FUNCAO</t>
  </si>
  <si>
    <t>CO_NIVEL_FUNCAO</t>
  </si>
  <si>
    <t>Código do Nível da função</t>
  </si>
  <si>
    <t>SG_NIV_FUN</t>
  </si>
  <si>
    <t>% de cargos de liderança ocupados por mulheres</t>
  </si>
  <si>
    <t>% de cargos de liderança ocupados por servidores estatutários</t>
  </si>
  <si>
    <t>Nome do Cargo</t>
  </si>
  <si>
    <t>NO_CARGO</t>
  </si>
  <si>
    <t>Cargo de origem</t>
  </si>
  <si>
    <t>NO_CARGO_ORIGEM</t>
  </si>
  <si>
    <t>Nome do cargo de origem</t>
  </si>
  <si>
    <t>equidade da distribuição dos cargos de liderança por origem territorial</t>
  </si>
  <si>
    <t>Idade do Servidor</t>
  </si>
  <si>
    <t>IDADE</t>
  </si>
  <si>
    <t>IDADE_SERVIDOR</t>
  </si>
  <si>
    <t>indicador de distribuição atual por forma de provimento (estatutário, temporário, emprego público, comissionado) (?)</t>
  </si>
  <si>
    <t>Situação de atividade do servidor</t>
  </si>
  <si>
    <t>VAR_0002_SIT_ATIV</t>
  </si>
  <si>
    <t>Indicador de PGD</t>
  </si>
  <si>
    <t>in_pgd</t>
  </si>
  <si>
    <t>Indicador de servidor em PGD</t>
  </si>
  <si>
    <t>fatoServidor</t>
  </si>
  <si>
    <t>% do número de cargos em carreiras transversais</t>
  </si>
  <si>
    <t>Cargo</t>
  </si>
  <si>
    <t>CO_GRUPO_CARGO</t>
  </si>
  <si>
    <t>Código do grupo-cargo</t>
  </si>
  <si>
    <t>NO_GRUPO_CARGO</t>
  </si>
  <si>
    <t>Nome grupo-cargo</t>
  </si>
  <si>
    <t>SG_GRUPO_CARGO</t>
  </si>
  <si>
    <t>Sigla do grupo-cargo</t>
  </si>
  <si>
    <t>CO_CARGO</t>
  </si>
  <si>
    <t>Código do Cargo</t>
  </si>
  <si>
    <t>% de servidores ativos em carreiras transversais</t>
  </si>
  <si>
    <t>% de servidoras mulheres em carreiras transversais / não transversais / total</t>
  </si>
  <si>
    <t>% de servidores negros em carreiras transversais / não transversais / total</t>
  </si>
  <si>
    <t>% do número de cargos no PGPE e em Plano de Cargos Especiais (sem carreiras)</t>
  </si>
  <si>
    <t>GR CARGO ORIGEM</t>
  </si>
  <si>
    <t>Grupo-cargo origem</t>
  </si>
  <si>
    <t>CARGO ORIGEM</t>
  </si>
  <si>
    <t>COD CARGO ORIG</t>
  </si>
  <si>
    <t>Código do cargo de origem</t>
  </si>
  <si>
    <t>GRUPO CARGO</t>
  </si>
  <si>
    <t>CARGO</t>
  </si>
  <si>
    <t>COD CARGO</t>
  </si>
  <si>
    <t>AGRUPAMENTO_NATJUR</t>
  </si>
  <si>
    <t>NO_SEXO</t>
  </si>
  <si>
    <t>MES_REF</t>
  </si>
  <si>
    <t>ANO_REF</t>
  </si>
  <si>
    <t>ind_1</t>
  </si>
  <si>
    <t>ind_2</t>
  </si>
  <si>
    <t>ind_3</t>
  </si>
  <si>
    <t>ind_4</t>
  </si>
  <si>
    <t>MAPA</t>
  </si>
  <si>
    <t>MINISTERIO DA AGRICULTURA E PECUARIA</t>
  </si>
  <si>
    <t>ADMINISTRACAO DIRETA FEDERAL</t>
  </si>
  <si>
    <t>NAO INFORMADO</t>
  </si>
  <si>
    <t>M</t>
  </si>
  <si>
    <t>NAO_SE_APLICA</t>
  </si>
  <si>
    <t>C.EX</t>
  </si>
  <si>
    <t>COMANDO DO EXERCITO</t>
  </si>
  <si>
    <t>PARDA</t>
  </si>
  <si>
    <t>F</t>
  </si>
  <si>
    <t>SUL</t>
  </si>
  <si>
    <t>CENTRO_OESTE</t>
  </si>
  <si>
    <t>MEC</t>
  </si>
  <si>
    <t>MINISTERIO DA EDUCACAO</t>
  </si>
  <si>
    <t>BRANCA</t>
  </si>
  <si>
    <t>NORDESTE</t>
  </si>
  <si>
    <t>NORTE</t>
  </si>
  <si>
    <t>Dimensão</t>
  </si>
  <si>
    <t>Item</t>
  </si>
  <si>
    <t>Ação</t>
  </si>
  <si>
    <t>Fase do Modelo Lógico</t>
  </si>
  <si>
    <t>Descrição do Indicador</t>
  </si>
  <si>
    <t>Finalidade do Monitoramento</t>
  </si>
  <si>
    <t>Linha de base</t>
  </si>
  <si>
    <t>1.2 Políticas de Diversidade e Inclusão</t>
  </si>
  <si>
    <t>Cotas para cargos comissão/função confiança (decreto 11.443/2023)</t>
  </si>
  <si>
    <t>Insumos</t>
  </si>
  <si>
    <t>Orçamento disponível para capacitação e sensibilização de gestores sobre o Decreto 11.443/23.</t>
  </si>
  <si>
    <t>Sugerido</t>
  </si>
  <si>
    <t>Verificar se os recursos financeiros e humanos são suficientes para a execução.</t>
  </si>
  <si>
    <t>Alta</t>
  </si>
  <si>
    <t>Semestral</t>
  </si>
  <si>
    <t>Órgão Setorial de Gestão de Pessoas / MIR / MGI</t>
  </si>
  <si>
    <t>Número de cargos de liderança disponíveis (ocupados/vagos)</t>
  </si>
  <si>
    <t>Obtido, não apresentado</t>
  </si>
  <si>
    <t>Monitorar viabilidade da implementação de cotas</t>
  </si>
  <si>
    <t>Moderada</t>
  </si>
  <si>
    <t>Mensal</t>
  </si>
  <si>
    <t>MGI / Sistema SIAPE</t>
  </si>
  <si>
    <t xml:space="preserve">Indicador 2: Índice de suficiência de vagas para cumprimento da meta racial </t>
  </si>
  <si>
    <t>Calculado</t>
  </si>
  <si>
    <t>Atividades</t>
  </si>
  <si>
    <t>Ações de capacitação e sensibilização de gestores sobre o Decreto 11.443/23.</t>
  </si>
  <si>
    <t>Medir o esforço e as ações realizadas para transformar insumos em produtos.</t>
  </si>
  <si>
    <t>Trimestral</t>
  </si>
  <si>
    <t>Unidades de Gestão de Pessoas dos Ministérios</t>
  </si>
  <si>
    <t>Produtos</t>
  </si>
  <si>
    <t>Quantidade de pessoas pretas e pardas nomeadas em cargos CCE e FCE de níveis 13 a 17 (liderança).</t>
  </si>
  <si>
    <t>Monitorar as entregas diretas e imediatas da política.</t>
  </si>
  <si>
    <t>Baixa</t>
  </si>
  <si>
    <t>30% X Total de cargos</t>
  </si>
  <si>
    <t>Resultados</t>
  </si>
  <si>
    <t>Indicador 1: Participação de pessoas negras em cargos CCE/FCE</t>
  </si>
  <si>
    <t>Avaliar mudanças de curto e médio prazo no comportamento das nomeações.</t>
  </si>
  <si>
    <t>Impactos</t>
  </si>
  <si>
    <t>Indicador 3: Índice de equidade de acesso a cargos FCE</t>
  </si>
  <si>
    <t>Verificar as mudanças de longo prazo na realidade do público-alvo.</t>
  </si>
  <si>
    <t xml:space="preserve">Indicador 4: Índice de equidade remuneratória por raça </t>
  </si>
  <si>
    <t>Em revisão</t>
  </si>
  <si>
    <t>Quadrienal (Ciclo do PPA)</t>
  </si>
  <si>
    <t>1.1 DIMENSIONAMENTO DA FORÇA DE TRABALHO</t>
  </si>
  <si>
    <t>dimensionamento da força de trabalho (PORTARIA SEDGG/ME Nº 7.888, DE 1º DE SETEMBRO DE 2022)</t>
  </si>
  <si>
    <t>1.2 POLÍTICAS DE DIVERSIDADE  E INCLUSÃO</t>
  </si>
  <si>
    <t>Cotas em concurso  para negros, indígenas e quilombolas (Lei nº 15.142/25)</t>
  </si>
  <si>
    <t>Cota em concurso para PCD (Decreto 9.508/18)</t>
  </si>
  <si>
    <t>1.3 PROVISÃO DA FORÇA DE TRABALHO: CONCURSO PÚBLICO, CONTRATO TEMPORÁRIO, PROGRAMA DE ESTÁGIO E EMPREGO PÚBLICO</t>
  </si>
  <si>
    <t>Concursos Públicos - CPNU</t>
  </si>
  <si>
    <t>Contratação Temporária</t>
  </si>
  <si>
    <t>Estágio</t>
  </si>
  <si>
    <t>Emprego Público</t>
  </si>
  <si>
    <t>1.4 MOVIMENTAÇÃO DE PESSOAL: CESSÃO, REQUISIÇÃO, COMPOSIÇÃO DA FORÇA DE TRABALHO E EXERCÍCIO DESCENTRALIZADO</t>
  </si>
  <si>
    <t>Cessão</t>
  </si>
  <si>
    <t>Requisição</t>
  </si>
  <si>
    <t>Composição Força Trabalho</t>
  </si>
  <si>
    <t>Exercício Descentralizado</t>
  </si>
  <si>
    <t>Aproveitamento quadro em extinção  (Lei 13681/18)</t>
  </si>
  <si>
    <t>Currículo e Oportunidades (SouGOV) e Sigepe Oportunidades (INSTRUÇÃO NORMATIVA SGP/MGI Nº 31, DE 9 DE NOVEMBRO DE 2023)</t>
  </si>
  <si>
    <t>Redistribuição</t>
  </si>
  <si>
    <t xml:space="preserve">1.5 INGRESSOS EXCEPCIONAIS (ANISTIADOS DA LEI nº8.878-94  E TRANSPOSIÇÃO DE SERVIDORES) </t>
  </si>
  <si>
    <t xml:space="preserve"> anistiados da Lei nº 8.878</t>
  </si>
  <si>
    <t>Trasnposição de servidores de ex-territórios  (Lei 13681/18)</t>
  </si>
  <si>
    <t>2. CARREIRAS, CARGOS, PROGRESSÃO E PROMOÇÃO</t>
  </si>
  <si>
    <t>2.1 ORGANIZAÇÃO DO SISTEMA DE CARREIRAS E CARGOS (CRIAÇÃO, TRANSFORMAÇÃO, EXTINÇÃO, DESENHO DE CARGOS E CARREIRAS)</t>
  </si>
  <si>
    <t>SIPEC (Decreto-Lei 200/67)</t>
  </si>
  <si>
    <t>Criação de cargos/carreiras</t>
  </si>
  <si>
    <t>Transformação de cargos/carreiras</t>
  </si>
  <si>
    <t>Extinção de cargos e carreiras</t>
  </si>
  <si>
    <t>Reestruturação de cargos e carreiras</t>
  </si>
  <si>
    <t xml:space="preserve">2.2 PROGRESSÃO FUNCIONAL  E PROMOÇÃO </t>
  </si>
  <si>
    <t>Progressão e Promoção</t>
  </si>
  <si>
    <t>PGD (Decreto nº 11.072/2022)</t>
  </si>
  <si>
    <t xml:space="preserve">2.3 ACUMULAÇÃO DE CARGOS </t>
  </si>
  <si>
    <t>Acumulação de cargos (Instrução Normativa SGP nº 30/2025)</t>
  </si>
  <si>
    <t>3. ALOCAÇÃO, AMBIENTAÇÃO  E BEM-ESTAR</t>
  </si>
  <si>
    <t>3.1 PERFIL PROFISSIOGRÁFICO</t>
  </si>
  <si>
    <t>Perfil Profissiográfico</t>
  </si>
  <si>
    <t>3.2 CURRÍCULO E OPORTUNIDADES</t>
  </si>
  <si>
    <t>3.3 GESTÃO DO ESTÁGIO PROBATÓRIO</t>
  </si>
  <si>
    <t>Estágio Probatório (Decreto 12.374/2025 e IN SGP/ MGI nº 122/2025)</t>
  </si>
  <si>
    <t>3.4 SIASS – SUBSISTEMA INTEGRADO DE ATENÇÃO À SAÚDE DO SERVIDOR PÚBLICO FEDERAL</t>
  </si>
  <si>
    <t>SIASS (Decreto nº 6.833/09)</t>
  </si>
  <si>
    <t>Monitoramento saúde física e mental dos servidores</t>
  </si>
  <si>
    <t>Afastamentos por motivo de saúde</t>
  </si>
  <si>
    <t xml:space="preserve">3.5 ENFRENTAMENTO AO ASSÉDIO E À DISCRIMINAÇÃO </t>
  </si>
  <si>
    <t>Programa Federal de Enfrentamento ao Assédio e à Discriminação (PFPEAD)( Decreto nº 12.122/24)</t>
  </si>
  <si>
    <t xml:space="preserve">4. DESENVOLVIMENTO E DESEMPENHO DE PESSOAL </t>
  </si>
  <si>
    <t>4.1 GESTÃO DO DESEMPENHO</t>
  </si>
  <si>
    <t>AvaliaGOV</t>
  </si>
  <si>
    <t>Gratificação de Desempenho</t>
  </si>
  <si>
    <t>Avaliações de Desempenho</t>
  </si>
  <si>
    <t>4.2 DESENVOLVIMENTO DE PESSOAS</t>
  </si>
  <si>
    <t>Política Nacional de Desenvolvimento de Pessoas (PNDP)( Decreto nº 9.991/19)</t>
  </si>
  <si>
    <t>4.3 PROGRAMA DE GESTÃO E DESEMPENHO (PGD)</t>
  </si>
  <si>
    <t>PGD (Decreto nº 11.072/2022, IN nº 24/2023 e IN  52/2023)</t>
  </si>
  <si>
    <t xml:space="preserve">4.4 FORMAÇÃO DE LIDERANÇAS PÚBLICAS </t>
  </si>
  <si>
    <t>LideraGOV</t>
  </si>
  <si>
    <t>4.5 PROGRAMA DE DESENVOLVIMENTO INICIAL DE SERVIDORES E SERVIDORAS</t>
  </si>
  <si>
    <t>PDI (MGI/ENAP)</t>
  </si>
  <si>
    <t xml:space="preserve">4.6 CERTIFICAÇÃO EM GESTÃO  DE PESSOAS </t>
  </si>
  <si>
    <t>Projeto Certificação em Gestão de Pessoas – CerGP</t>
  </si>
  <si>
    <t xml:space="preserve">5. REMUNERAÇÃO, BENEFÍCIOS E RECOMPENSAS NÃO PECUNIÁRIAS </t>
  </si>
  <si>
    <t xml:space="preserve">5.1 GRATIFICAÇÕES </t>
  </si>
  <si>
    <t>GECC</t>
  </si>
  <si>
    <t>Gratificações Sistemas Estruturantes</t>
  </si>
  <si>
    <t>5.2 BENEFÍCIOS</t>
  </si>
  <si>
    <t>Auxílios (moradia, transporte, alimentação, funeral, pré-escolar)</t>
  </si>
  <si>
    <t>Saúde Suplementar</t>
  </si>
  <si>
    <t>Ajuda de Custo</t>
  </si>
  <si>
    <t xml:space="preserve">5.3 FÉRIAS </t>
  </si>
  <si>
    <t>Férias ( ON nº 02/2011 e  IN nº 12/2022)</t>
  </si>
  <si>
    <t>5.4 FREQUÊNCIA</t>
  </si>
  <si>
    <t>SIGEPE Frequência</t>
  </si>
  <si>
    <t>5.5 CONSIGNAÇÃO</t>
  </si>
  <si>
    <t>Consignação</t>
  </si>
  <si>
    <t>5.6 FOLHA DE PAGAMENTO</t>
  </si>
  <si>
    <t>Módulo de Gestão da Folha (SIGEPE)</t>
  </si>
  <si>
    <t xml:space="preserve">6. APOSENTAÇÃO, PENSÕES E DESLIGAMENTOS </t>
  </si>
  <si>
    <t>6.1 APOSENTADORIA</t>
  </si>
  <si>
    <t>Aposentadoria. EC nº 103/2019 (Reforma da Previdência)</t>
  </si>
  <si>
    <t>6.2 PENSÃO</t>
  </si>
  <si>
    <t>Pensão por morte. EC nº 103/2019 (Reforma da Previdência)</t>
  </si>
  <si>
    <t>6.3 GESTÃO DA PREVIDÊNCIA E CONFORMIDADE PREVIDENCIÁRIA</t>
  </si>
  <si>
    <t>Centralização da gestão</t>
  </si>
  <si>
    <t>(Tudo)</t>
  </si>
  <si>
    <t>Contagem de id_indicador</t>
  </si>
  <si>
    <t>(vazio)</t>
  </si>
  <si>
    <t>Distribuição observada por forma de provimento (estatutário, temporário, emprego público, comissionado)</t>
  </si>
  <si>
    <t>Distribuição planejada por forma de provimento (estatutário, temporário, emprego público, comissionado)</t>
  </si>
  <si>
    <t>indicadores de turnover de lideranças</t>
  </si>
  <si>
    <t>(vazio) Total</t>
  </si>
  <si>
    <t>Total Geral</t>
  </si>
  <si>
    <t>indicador_old</t>
  </si>
  <si>
    <t>projeto_estruturante</t>
  </si>
  <si>
    <t>indicador</t>
  </si>
  <si>
    <t>subtema</t>
  </si>
  <si>
    <t>embasamento_sugestao</t>
  </si>
  <si>
    <t>apresentacao_pfgp_2030_02_06</t>
  </si>
  <si>
    <t>grupo_fonte</t>
  </si>
  <si>
    <t>descricao</t>
  </si>
  <si>
    <t>tipo_cadeia_valor</t>
  </si>
  <si>
    <t>tipo_marco_logico</t>
  </si>
  <si>
    <t>dificuldade_obtencao</t>
  </si>
  <si>
    <t>fonte</t>
  </si>
  <si>
    <t>limitacoes</t>
  </si>
  <si>
    <t>status</t>
  </si>
  <si>
    <t>responsavel</t>
  </si>
  <si>
    <t>dim1</t>
  </si>
  <si>
    <t>dim2</t>
  </si>
  <si>
    <t>dim3</t>
  </si>
  <si>
    <t>dim4</t>
  </si>
  <si>
    <t>dim5</t>
  </si>
  <si>
    <t>dim6</t>
  </si>
  <si>
    <t>freq_coleta</t>
  </si>
  <si>
    <t>periodicidade</t>
  </si>
  <si>
    <t>memoria_calculo</t>
  </si>
  <si>
    <t>desagregacoes</t>
  </si>
  <si>
    <t>meta</t>
  </si>
  <si>
    <t>mes_ref</t>
  </si>
  <si>
    <t>defasagem</t>
  </si>
  <si>
    <t>incluido_radar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</si>
</sst>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rgb="FF303030"/>
      <name val="Google Sans Text"/>
    </font>
    <font>
      <sz val="11"/>
      <color rgb="FF303030"/>
      <name val="Google Sans Text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9"/>
      <color rgb="FF000000"/>
      <name val="Aptos Narrow"/>
      <charset val="1"/>
    </font>
    <font>
      <i/>
      <sz val="9"/>
      <color rgb="FF000000"/>
      <name val="Aptos Narrow"/>
      <charset val="1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  <font>
      <strike/>
      <sz val="11"/>
      <name val="Aptos Narrow"/>
      <family val="2"/>
      <scheme val="minor"/>
    </font>
    <font>
      <strike/>
      <sz val="11"/>
      <color rgb="FF000000"/>
      <name val="Aptos Narrow"/>
      <charset val="1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</font>
    <font>
      <b/>
      <sz val="11"/>
      <color rgb="FF000000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6FCA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3" xfId="0" applyFont="1" applyFill="1" applyBorder="1"/>
    <xf numFmtId="0" fontId="0" fillId="7" borderId="3" xfId="0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1" applyFill="1" applyBorder="1" applyAlignment="1">
      <alignment vertical="center" wrapText="1"/>
    </xf>
    <xf numFmtId="0" fontId="4" fillId="8" borderId="3" xfId="0" applyFont="1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8" borderId="0" xfId="0" applyFill="1"/>
    <xf numFmtId="0" fontId="1" fillId="9" borderId="1" xfId="0" applyFont="1" applyFill="1" applyBorder="1" applyAlignment="1">
      <alignment wrapText="1"/>
    </xf>
    <xf numFmtId="9" fontId="4" fillId="8" borderId="3" xfId="0" applyNumberFormat="1" applyFont="1" applyFill="1" applyBorder="1" applyAlignment="1">
      <alignment horizontal="center" vertical="center" wrapText="1"/>
    </xf>
    <xf numFmtId="9" fontId="0" fillId="8" borderId="3" xfId="0" applyNumberFormat="1" applyFill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6" borderId="3" xfId="0" applyFont="1" applyFill="1" applyBorder="1" applyAlignment="1">
      <alignment wrapText="1"/>
    </xf>
    <xf numFmtId="0" fontId="0" fillId="8" borderId="0" xfId="0" applyFill="1" applyAlignment="1">
      <alignment wrapText="1"/>
    </xf>
    <xf numFmtId="0" fontId="0" fillId="0" borderId="0" xfId="0" applyAlignment="1">
      <alignment horizontal="center" wrapText="1"/>
    </xf>
    <xf numFmtId="0" fontId="1" fillId="9" borderId="0" xfId="0" applyFont="1" applyFill="1" applyAlignment="1">
      <alignment wrapText="1"/>
    </xf>
    <xf numFmtId="0" fontId="6" fillId="2" borderId="3" xfId="0" applyFont="1" applyFill="1" applyBorder="1"/>
    <xf numFmtId="0" fontId="0" fillId="6" borderId="0" xfId="0" applyFill="1"/>
    <xf numFmtId="0" fontId="10" fillId="6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0" fillId="10" borderId="0" xfId="0" applyFill="1"/>
    <xf numFmtId="0" fontId="10" fillId="11" borderId="0" xfId="0" applyFont="1" applyFill="1" applyAlignment="1">
      <alignment horizontal="center"/>
    </xf>
    <xf numFmtId="0" fontId="0" fillId="11" borderId="0" xfId="0" applyFill="1"/>
    <xf numFmtId="0" fontId="10" fillId="12" borderId="0" xfId="0" applyFont="1" applyFill="1" applyAlignment="1">
      <alignment horizontal="center"/>
    </xf>
    <xf numFmtId="0" fontId="0" fillId="12" borderId="0" xfId="0" applyFill="1"/>
    <xf numFmtId="0" fontId="0" fillId="0" borderId="0" xfId="0" applyAlignment="1">
      <alignment horizontal="left"/>
    </xf>
    <xf numFmtId="0" fontId="10" fillId="6" borderId="0" xfId="0" applyFont="1" applyFill="1" applyAlignment="1">
      <alignment horizontal="left"/>
    </xf>
    <xf numFmtId="0" fontId="4" fillId="6" borderId="4" xfId="0" applyFont="1" applyFill="1" applyBorder="1" applyAlignment="1">
      <alignment vertical="center" wrapText="1"/>
    </xf>
    <xf numFmtId="0" fontId="4" fillId="13" borderId="3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13" borderId="0" xfId="0" applyFont="1" applyFill="1" applyAlignment="1">
      <alignment vertical="center" wrapText="1"/>
    </xf>
    <xf numFmtId="0" fontId="10" fillId="0" borderId="0" xfId="0" applyFont="1" applyAlignment="1">
      <alignment horizontal="left"/>
    </xf>
    <xf numFmtId="9" fontId="4" fillId="0" borderId="0" xfId="0" applyNumberFormat="1" applyFont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6" fillId="0" borderId="3" xfId="0" applyFont="1" applyBorder="1"/>
    <xf numFmtId="0" fontId="9" fillId="0" borderId="3" xfId="0" applyFont="1" applyBorder="1" applyAlignment="1">
      <alignment wrapText="1"/>
    </xf>
    <xf numFmtId="0" fontId="0" fillId="0" borderId="3" xfId="0" applyBorder="1"/>
    <xf numFmtId="0" fontId="1" fillId="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1" fillId="6" borderId="3" xfId="0" applyFont="1" applyFill="1" applyBorder="1" applyAlignment="1">
      <alignment vertical="center" wrapText="1"/>
    </xf>
    <xf numFmtId="9" fontId="11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wrapText="1"/>
    </xf>
    <xf numFmtId="0" fontId="11" fillId="8" borderId="3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1" fillId="7" borderId="3" xfId="0" applyFont="1" applyFill="1" applyBorder="1" applyAlignment="1">
      <alignment vertical="center" wrapText="1"/>
    </xf>
    <xf numFmtId="0" fontId="13" fillId="0" borderId="0" xfId="0" applyFont="1"/>
    <xf numFmtId="0" fontId="11" fillId="6" borderId="3" xfId="0" applyFont="1" applyFill="1" applyBorder="1" applyAlignment="1">
      <alignment horizontal="center" vertical="center" wrapText="1"/>
    </xf>
    <xf numFmtId="9" fontId="11" fillId="8" borderId="3" xfId="0" applyNumberFormat="1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vertical="center" wrapText="1"/>
    </xf>
    <xf numFmtId="0" fontId="15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0" fillId="0" borderId="0" xfId="0" pivotButton="1"/>
    <xf numFmtId="0" fontId="0" fillId="0" borderId="3" xfId="0" applyBorder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9" fontId="4" fillId="0" borderId="0" xfId="0" applyNumberFormat="1" applyFont="1" applyBorder="1" applyAlignment="1">
      <alignment horizontal="center" vertical="center" wrapText="1"/>
    </xf>
    <xf numFmtId="0" fontId="4" fillId="7" borderId="0" xfId="0" applyFont="1" applyFill="1" applyBorder="1" applyAlignment="1">
      <alignment vertical="center" wrapText="1"/>
    </xf>
    <xf numFmtId="0" fontId="4" fillId="6" borderId="0" xfId="0" applyFont="1" applyFill="1" applyBorder="1"/>
    <xf numFmtId="0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C3300"/>
      <color rgb="FFF6FC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D4817EFE-E4BB-420C-B8E9-D70D8AE57462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5.470896064813" createdVersion="8" refreshedVersion="8" minRefreshableVersion="3" recordCount="81" xr:uid="{A44C57D8-95CA-4893-BD36-FA115128279F}">
  <cacheSource type="worksheet">
    <worksheetSource ref="A2:AE82" sheet="Indicadores PFGP"/>
  </cacheSource>
  <cacheFields count="31">
    <cacheField name="id_indicador" numFmtId="0">
      <sharedItems containsSemiMixedTypes="0" containsString="0" containsNumber="1" containsInteger="1" minValue="1" maxValue="81"/>
    </cacheField>
    <cacheField name="Indicador (old)" numFmtId="0">
      <sharedItems containsBlank="1"/>
    </cacheField>
    <cacheField name="Projeto Estruturante" numFmtId="0">
      <sharedItems containsBlank="1" count="15">
        <m/>
        <s v="POLÍTICA FEDERAL DE REMUNERAÇÕES: FOLHA DE PAGAMENTOS E CONSIGNAÇÕES "/>
        <s v="DIAGNÓSTICO/DIMENSIONAMENTO DA FORÇA DE TRABALHO (DDFT)"/>
        <s v="MOVIMENTAÇÃO DE PESSOAL: CESSÃO, _x000a_REQUISIÇÃO, COMPOSIÇÃO DA FORÇA DE TRABALHO E EXERCÍCIO DESCENTRALIZADO "/>
        <s v="PROVISÃO DA FORÇA DE TRABALHO:  CONCURSO PÚBLICO, CONTRATO  TEMPORÁRIO, PROGRAMA DE ESTÁGIO E  EMPREGO PÚBLICO"/>
        <s v="RACIONALIZAÇÃO DO SISTEMA DE CARREIRAS E CARGOS: CRIAÇÃO, TRANSFORMAÇÃO, EXTINÇÃO E REDESENHO DE CARGOS E CARREIRAS "/>
        <s v="PROGRESSÃO E PROMOÇÃO FUNCIONAL: VALORIZAÇÃO PROFISSIONAL NAS CARREIRAS"/>
        <s v="ALOCAÇÃO ESTRATÉGICA: PERFIL PROFISSIOGRÁFICO E CURRÍCULO &amp; OPORTUNIDADES "/>
        <s v="AMBIENTAÇÃO E GESTÃO DO ESTÁGIO PROBATÓRIO "/>
        <s v="SUBSISTEMA INTEGRADO DE ATENÇÃO À SAÚDE DO SERVIDOR PÚBLICO FEDERAL (SIASS) "/>
        <s v="ENFRENTAMENTO DO ASSÉDIO E DA DISCRIMINAÇÃO (PFPEAD)"/>
        <s v="GESTÃO E DESEMPENHO (PGD) "/>
        <s v="DESENVOLVIMENTO PROFISSIONAL (PNDP)"/>
        <s v="POLÍTICA FEDERAL DE APOSENTAÇÃO: _x000a_PREPARAÇÃO E TRANSIÇÃO PARA A APOSENTADORIA, VALORIZAÇÃO DO LEGADO E PENSÕES "/>
        <s v="MODERNIZAÇÃO, DIGITALIZAÇÃO, GESTÃO E CONFORMIDADE DO RPPS"/>
      </sharedItems>
    </cacheField>
    <cacheField name="Indicador" numFmtId="0">
      <sharedItems count="80">
        <s v="Percentual de conclusão do mínimo de 50% do PDI após um ano de ingresso"/>
        <s v="Percentual de conclusão de 100% do PDI após dois anos de ingresso"/>
        <s v="Percepção de justiça remuneratória"/>
        <s v="Percentual de atendimento ao DDFT"/>
        <s v="equidade de distribuição dos servidores públicos, vis a vis distribuição demográfica na população, por: 1) gênero; 2) raça; 3) origem territorial; 4) faixa etária"/>
        <s v="Distribuição planejada por forma de provimento (estatutário, temporário, emprego público, comissionado)"/>
        <s v="Distribuição observada por forma de provimento (estatutário, temporário, emprego público, comissionado)"/>
        <s v="Percentual de servidores movimentados entre áreas temáticas, órgãos ou secretarias (de carreiras transversais / não transversais) "/>
        <s v="indicadores de turnover;"/>
        <s v="Taxa de absenteísmo;"/>
        <s v="Taxa de absenteísmo por determinadas CID´s;"/>
        <s v="Percepção de segurança psicológica"/>
        <s v="Percentual de servidores submetidos à avaliação de desempenho"/>
        <s v="% de servidores submetidos à avaliação de desempenho 360º (?)"/>
        <s v="Percentual de servidores com mapeamento do perfil de competências / perfil profissiográfico"/>
        <s v="Percentual de órgãos com PNDP atualizado"/>
        <s v="Percentual de atendimento do PNDP"/>
        <s v="% de servidores submetidos à avaliação de competências de liderança"/>
        <s v="número de servidores formados pelo LideraGov por: 1) gênero; 2) raça; 3) origem territorial; 4) faixa etária"/>
        <s v="Percentual de cargos de liderança reservados a servidores estatutários"/>
        <s v="Percentual de cargos de liderança reservados a mulheres"/>
        <s v="Percentual de cargos de liderança reservados a pessoas negras"/>
        <s v="Percentual de cargos de liderança ocupados por pessoas negras"/>
        <s v="Percentual de cargos de liderança ocupados por mulheres"/>
        <s v="Percentual de cargos de liderança ocupados por servidores estatutários"/>
        <s v="Percentual de cargos de liderança por origem territorial"/>
        <s v="indicadores de turnover de lideranças"/>
        <s v="Oportunidade de capacitação"/>
        <s v="Percepções da relação Liderança - servidor(a)"/>
        <s v="Percepções da relação Liderança - equipe"/>
        <s v="Percepções das atitudes de liderança"/>
        <s v="Percentual do número de cargos em carreiras transversais"/>
        <s v="Percentual de servidores ativos em carreiras transversais"/>
        <s v="Percentual de servidoras mulheres em carreiras transversais / não transversais / total"/>
        <s v="Percentual de servidores negros em carreiras transversais / não transversais / total"/>
        <s v="Percentual do número de cargos no PGPE e em Plano de Cargos Especiais (sem carreiras)"/>
        <s v="Percepções sobre critérios de promoção"/>
        <s v="Satisfação no trabalho"/>
        <s v="Percentual de servidores com abono permanência"/>
        <s v="Percentual de órgãos com DDFT atualizado sistematizado"/>
        <s v="Percentual de movimentações vinculadas a necessidades estratégicas previamente identificadas"/>
        <s v="Percentual de provimentos aderentes ao planejamento da força de trabalho"/>
        <s v="Percentual de Pessoas Negras em Liderança"/>
        <s v="Redução do número de estruturas excessivamente fragmentadas"/>
        <s v="Percentual de carreiras com desenho compatível com parâmetros de transversalidade, coerência funcional e racionalidade organizacional. "/>
        <s v="Percentual de decisões estratégicas sobre carreiras submetidas a critérios e fluxos institucionalizados. "/>
        <s v="Percentual de carreiras com critérios formalizados e transparentes de progressão/promoção"/>
        <s v="Percentual de novos ingressantes alocados com base em perfil profissiográfico. "/>
        <s v="Percentual de órgãos com processo estruturado de alocação inicial e ambientação institucional"/>
        <s v="Percentual de recém-ingressos alcançados por ações de desenvolvimento no estágio probatório"/>
        <s v="Percentual de novos servidores atentidos por programas de desenvolvimento inicial"/>
        <s v="Percentual de órgãos cobertos por ações estruturadas de promoção da saúde"/>
        <s v="Percentual de órgãos com estratégias de prevenção e enfrentamento do assédio e da discriminação"/>
        <s v="Percentual de servidores_x000a_alcançados por exames_x000a_médicos periódicos e ações_x000a_preventivas."/>
        <s v="Percentual de órgãos e entidades com PGD implementado. "/>
        <s v="Percentual de servidores abrangidos por planos de trabalho pactuados por entregas (PGD)"/>
        <s v="Percentual de órgãos com uso sistemático de informações de desempenho para tomada de decisão"/>
        <s v="Percentual de ações de desenvolvimento vinculadas a necessidades previamente identificadas"/>
        <s v="Percentual de ocupação de funções estratégicas via seleção estruturada"/>
        <s v="Existência de diretrizes formalizadas para a política remuneratória."/>
        <s v="Percentual de estruturas remuneratórias monitoradas por sistema integrado"/>
        <s v="Índice de desigualdade de remuneração"/>
        <s v="Percentual de órgãos com ações estruturadas de preparação para a inatividade"/>
        <s v="Percentual de assentamentos digitalizados (RPPS)"/>
        <s v="Tempo médio de tramitação e atendimento em processos de aposentadoria e pensão"/>
        <s v="Projeções de aposentadoria"/>
        <s v="Percentual de processos apoiados por fluxos digitais e automação"/>
        <s v="indicador de racionalidade de carreiras (?)"/>
        <s v="indicador de racionalidade de estruturas remuneratórias (?)"/>
        <s v="Percentual do número de servidores ativos no PGPE e Plano de Cargos Especiais"/>
        <s v="Tempo médio de permanência dos servidores por lotação (transversais / não transversais, em áreas temáticas, em órgãos, em secretarias)"/>
        <s v="histograma da distribuição dos servidores de carreiras transversais / não transversais por número de áreas temáticas e órgãos em que atuaram"/>
        <s v="Percepção de engajamento no trabalho"/>
        <s v="indicador de valorização e reconhecimento não pecuniário (?)"/>
        <s v="Percentual de ingressantes por meio de processo seletivo unificado"/>
        <s v="Indicadores de clima e percepção de respeito no ambiente de trabalho"/>
        <s v="Percepção de desempenho de equipe"/>
        <s v="Percepção de desempenho organizacional"/>
        <s v="Intenção de saída / permanência"/>
        <s v="Percepção de justiça organizacional relacionada a direitos e deveres laborais"/>
      </sharedItems>
    </cacheField>
    <cacheField name="Subtema" numFmtId="0">
      <sharedItems containsBlank="1"/>
    </cacheField>
    <cacheField name="Embasamento/Sugestão" numFmtId="0">
      <sharedItems containsBlank="1"/>
    </cacheField>
    <cacheField name="Está na apresentação PFGP_2030_02.06 Todos?" numFmtId="0">
      <sharedItems/>
    </cacheField>
    <cacheField name="Grupo Fonte" numFmtId="0">
      <sharedItems/>
    </cacheField>
    <cacheField name="Descrição" numFmtId="0">
      <sharedItems containsBlank="1" longText="1"/>
    </cacheField>
    <cacheField name="Tipo de Indicador - Cadeia de Valores" numFmtId="0">
      <sharedItems containsBlank="1"/>
    </cacheField>
    <cacheField name="Tipo de Indicador - Marco Lógico" numFmtId="0">
      <sharedItems/>
    </cacheField>
    <cacheField name="Difculdade de obtenção" numFmtId="0">
      <sharedItems containsSemiMixedTypes="0" containsString="0" containsNumber="1" containsInteger="1" minValue="1" maxValue="5"/>
    </cacheField>
    <cacheField name="Fonte" numFmtId="0">
      <sharedItems containsBlank="1"/>
    </cacheField>
    <cacheField name="Limitações" numFmtId="0">
      <sharedItems containsBlank="1"/>
    </cacheField>
    <cacheField name="Status" numFmtId="0">
      <sharedItems/>
    </cacheField>
    <cacheField name="Incluído no Radar?" numFmtId="0">
      <sharedItems containsBlank="1"/>
    </cacheField>
    <cacheField name="Responsável" numFmtId="0">
      <sharedItems containsNonDate="0" containsString="0" containsBlank="1"/>
    </cacheField>
    <cacheField name="Dimensão 1: Planejamento, Diagnóstico da Força de Trabalho e Processo Seletivo​" numFmtId="0">
      <sharedItems containsString="0" containsBlank="1" containsNumber="1" containsInteger="1" minValue="1" maxValue="1" count="2">
        <m/>
        <n v="1"/>
      </sharedItems>
    </cacheField>
    <cacheField name="Dimensão 2: Carreiras, Cargos, Progressão e Promoção​" numFmtId="0">
      <sharedItems containsString="0" containsBlank="1" containsNumber="1" containsInteger="1" minValue="1" maxValue="1" count="2">
        <m/>
        <n v="1"/>
      </sharedItems>
    </cacheField>
    <cacheField name="Dimensão 3: Alocação, Ambientação, Estágio Probatório e Bem-Estar​" numFmtId="0">
      <sharedItems containsString="0" containsBlank="1" containsNumber="1" containsInteger="1" minValue="1" maxValue="1" count="2">
        <m/>
        <n v="1"/>
      </sharedItems>
    </cacheField>
    <cacheField name="Dimensão 4: Desenvolvimento e Desempenho de Pessoas e Formação de Lideranças Públicas​" numFmtId="0">
      <sharedItems containsBlank="1" containsMixedTypes="1" containsNumber="1" containsInteger="1" minValue="1" maxValue="1" count="3">
        <n v="1"/>
        <m/>
        <s v="DIGID"/>
      </sharedItems>
    </cacheField>
    <cacheField name="Dimensão 5: Remuneração, Benefícios, Reconhecimento e Recompensas Não Pecuniárias​" numFmtId="0">
      <sharedItems containsString="0" containsBlank="1" containsNumber="1" containsInteger="1" minValue="1" maxValue="1" count="2">
        <m/>
        <n v="1"/>
      </sharedItems>
    </cacheField>
    <cacheField name="Dimensão 6: Aposentação, Pensões e Desligamentos" numFmtId="0">
      <sharedItems containsString="0" containsBlank="1" containsNumber="1" containsInteger="1" minValue="1" maxValue="1" count="2">
        <m/>
        <n v="1"/>
      </sharedItems>
    </cacheField>
    <cacheField name="Frequência de Coleta" numFmtId="0">
      <sharedItems containsBlank="1"/>
    </cacheField>
    <cacheField name="Periodicidade" numFmtId="0">
      <sharedItems containsNonDate="0" containsString="0" containsBlank="1"/>
    </cacheField>
    <cacheField name="Memória de cálculo" numFmtId="0">
      <sharedItems containsNonDate="0" containsString="0" containsBlank="1"/>
    </cacheField>
    <cacheField name="Desagregações" numFmtId="0">
      <sharedItems containsNonDate="0" containsString="0" containsBlank="1"/>
    </cacheField>
    <cacheField name="Meta" numFmtId="0">
      <sharedItems containsString="0" containsBlank="1" containsNumber="1" minValue="0.3" maxValue="1"/>
    </cacheField>
    <cacheField name="Mês de referência" numFmtId="0">
      <sharedItems containsBlank="1"/>
    </cacheField>
    <cacheField name="Defasagem" numFmtId="0">
      <sharedItems containsNonDate="0" containsString="0" containsBlank="1"/>
    </cacheField>
    <cacheField name="Ob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13"/>
    <m/>
    <x v="0"/>
    <x v="0"/>
    <m/>
    <s v="DIGID"/>
    <s v="Sim, D4, P13"/>
    <s v="Externa à DIGID"/>
    <m/>
    <s v="Gestão de RH – Atividades e Processos"/>
    <s v="Produto"/>
    <n v="4"/>
    <s v="ENAP"/>
    <s v="Depende de levantamento junto à ENAP ou às UGPs da relação de matriculados no PDI"/>
    <s v="2 - A agendar com unidade responsável"/>
    <m/>
    <m/>
    <x v="0"/>
    <x v="0"/>
    <x v="0"/>
    <x v="0"/>
    <x v="0"/>
    <x v="0"/>
    <m/>
    <m/>
    <m/>
    <m/>
    <m/>
    <m/>
    <m/>
    <m/>
  </r>
  <r>
    <n v="14"/>
    <m/>
    <x v="0"/>
    <x v="1"/>
    <m/>
    <s v="DIGID"/>
    <s v="Sim, D4, P13"/>
    <s v="Externa à DIGID"/>
    <m/>
    <s v="Gestão de RH – Atividades e Processos"/>
    <s v="Produto"/>
    <n v="4"/>
    <s v="ENAP"/>
    <s v="Depende de levantamento junto à ENAP ou às UGPs da relação de matriculados no PDI"/>
    <s v="2 - A agendar com unidade responsável"/>
    <m/>
    <m/>
    <x v="0"/>
    <x v="0"/>
    <x v="0"/>
    <x v="0"/>
    <x v="0"/>
    <x v="0"/>
    <m/>
    <m/>
    <m/>
    <m/>
    <m/>
    <m/>
    <m/>
    <m/>
  </r>
  <r>
    <n v="26"/>
    <s v="Dimensão 5: Remuneração, Benefícios, Reconhecimento e Recompensas Não Pecuniárias"/>
    <x v="1"/>
    <x v="2"/>
    <s v="Justiça remuneratória"/>
    <s v="DIGID"/>
    <s v="Sim, D2, P6_x000a_Sim, D5, P15"/>
    <s v="Vozes"/>
    <s v="Sou remunerado(a) de maneira justa por minha responsabilidade no trabalho.; Sou remunerado(a) de maneira justa pela qualidade do trabalho que apresento.; Comparando-me aos demais servidores públicos efetivos que possuem atribuições semelhantes às minhas, recebo uma remuneração justa."/>
    <s v="Gestão de RH – Resultados"/>
    <s v="Impacto"/>
    <n v="1"/>
    <s v="Pesquisa Vozes 1 e 2"/>
    <m/>
    <s v="5 - Dados disponíveis/obtidos"/>
    <m/>
    <m/>
    <x v="0"/>
    <x v="1"/>
    <x v="0"/>
    <x v="1"/>
    <x v="1"/>
    <x v="0"/>
    <m/>
    <m/>
    <m/>
    <m/>
    <m/>
    <m/>
    <m/>
    <m/>
  </r>
  <r>
    <n v="30"/>
    <m/>
    <x v="0"/>
    <x v="3"/>
    <m/>
    <s v="DIGID"/>
    <s v="Sim, D1, P1"/>
    <s v="Externa à DIGID"/>
    <m/>
    <s v="Gestão de RH – Atividades e Processos"/>
    <s v="Produto"/>
    <n v="4"/>
    <s v="DEPRO"/>
    <m/>
    <s v="4 - Dados em processo de obtenção"/>
    <m/>
    <m/>
    <x v="1"/>
    <x v="0"/>
    <x v="0"/>
    <x v="1"/>
    <x v="0"/>
    <x v="0"/>
    <m/>
    <m/>
    <m/>
    <m/>
    <m/>
    <m/>
    <m/>
    <m/>
  </r>
  <r>
    <n v="31"/>
    <m/>
    <x v="0"/>
    <x v="4"/>
    <s v="Equidade de acesso"/>
    <s v="DIGID"/>
    <s v="Sim, D1, P2"/>
    <s v="SIGEPE /Censo Demográfico"/>
    <m/>
    <s v="Gestão de RH – Resultados"/>
    <s v="Impacto"/>
    <n v="1"/>
    <s v="SIAPE"/>
    <s v="Servidores Estatutários?"/>
    <s v="6 - No shiny"/>
    <s v="Sim"/>
    <m/>
    <x v="1"/>
    <x v="0"/>
    <x v="0"/>
    <x v="1"/>
    <x v="0"/>
    <x v="0"/>
    <m/>
    <m/>
    <m/>
    <m/>
    <m/>
    <m/>
    <m/>
    <m/>
  </r>
  <r>
    <n v="32"/>
    <m/>
    <x v="0"/>
    <x v="5"/>
    <s v="Provimento"/>
    <s v="DIGID"/>
    <s v="Sim, D1, P3"/>
    <s v="Externa à DIGID"/>
    <m/>
    <s v="Gestão de RH – Atividades e Processos"/>
    <s v="Atividade"/>
    <n v="5"/>
    <s v="DEPRO"/>
    <s v="Depende de dados de provimento de vagas (DEPRO)"/>
    <s v="4 - Dados em processo de obtenção"/>
    <m/>
    <m/>
    <x v="1"/>
    <x v="0"/>
    <x v="0"/>
    <x v="1"/>
    <x v="0"/>
    <x v="0"/>
    <m/>
    <m/>
    <m/>
    <m/>
    <m/>
    <m/>
    <m/>
    <m/>
  </r>
  <r>
    <n v="33"/>
    <m/>
    <x v="0"/>
    <x v="6"/>
    <s v="Provimento"/>
    <s v="DIGID"/>
    <s v="Sim, D1, P3"/>
    <s v="SIGEPE"/>
    <m/>
    <s v="Gestão de RH – Atividades e Processos"/>
    <s v="Produto"/>
    <n v="1"/>
    <s v="SIAPE"/>
    <m/>
    <s v="5 - Dados disponíveis/obtidos"/>
    <m/>
    <m/>
    <x v="1"/>
    <x v="0"/>
    <x v="0"/>
    <x v="1"/>
    <x v="0"/>
    <x v="0"/>
    <m/>
    <m/>
    <m/>
    <m/>
    <m/>
    <m/>
    <m/>
    <m/>
  </r>
  <r>
    <n v="34"/>
    <m/>
    <x v="0"/>
    <x v="7"/>
    <m/>
    <s v="DIGID"/>
    <s v="Sim, D1, P4"/>
    <s v="SIGEPE"/>
    <m/>
    <s v="Gestão de RH – Atividades e Processos"/>
    <s v="Produto"/>
    <n v="3"/>
    <s v="SIAPE"/>
    <s v="Depende da elaboração do rastreio de mudanças no nome das UORGs, órgãos e secretarias. Depende da construção longitudinal das UORGs de vínculo por CPF/matrícula SIAPE"/>
    <s v="5 - Dados disponíveis/obtidos"/>
    <m/>
    <m/>
    <x v="1"/>
    <x v="0"/>
    <x v="0"/>
    <x v="1"/>
    <x v="0"/>
    <x v="0"/>
    <m/>
    <m/>
    <m/>
    <m/>
    <m/>
    <m/>
    <m/>
    <m/>
  </r>
  <r>
    <n v="35"/>
    <m/>
    <x v="0"/>
    <x v="8"/>
    <m/>
    <s v="DIGID"/>
    <s v="Sim, D3, P7_x000a_Sim, D3, P8_x000a_Sim, D3, P10"/>
    <s v="SIGEPE"/>
    <m/>
    <s v="Objetivos_x000a_organizacionais"/>
    <s v="Resultado"/>
    <n v="3"/>
    <s v="SIAPE"/>
    <s v="Depende da elaboração do rastreio de mudanças no nome das UORGs, órgãos e secretarias. Depende da construção longitudinal das UORGs de vínculo por CPF/matrícula SIAPE"/>
    <s v="5 - Dados disponíveis/obtidos"/>
    <m/>
    <m/>
    <x v="0"/>
    <x v="0"/>
    <x v="1"/>
    <x v="1"/>
    <x v="0"/>
    <x v="0"/>
    <m/>
    <m/>
    <m/>
    <m/>
    <m/>
    <m/>
    <m/>
    <m/>
  </r>
  <r>
    <n v="36"/>
    <m/>
    <x v="0"/>
    <x v="9"/>
    <m/>
    <s v="DIGID"/>
    <s v="Sim, D3, P9_x000a_Sim, D3, P8"/>
    <s v="SIASS"/>
    <m/>
    <s v="Gestão de RH – Resultados"/>
    <s v="Resultado"/>
    <n v="2"/>
    <s v="SIAPE"/>
    <m/>
    <s v="5 - Dados disponíveis/obtidos"/>
    <m/>
    <m/>
    <x v="0"/>
    <x v="0"/>
    <x v="1"/>
    <x v="1"/>
    <x v="0"/>
    <x v="0"/>
    <m/>
    <m/>
    <m/>
    <m/>
    <m/>
    <m/>
    <m/>
    <m/>
  </r>
  <r>
    <n v="37"/>
    <m/>
    <x v="0"/>
    <x v="10"/>
    <m/>
    <s v="DIGID"/>
    <s v="Sim, D3, P9"/>
    <s v="SIASS"/>
    <m/>
    <s v="Gestão de RH – Resultados"/>
    <s v="Impacto"/>
    <n v="4"/>
    <s v="SIASS"/>
    <s v="Depende de acesso ao SIASS (DIPAS)"/>
    <s v="4 - Dados em processo de obtenção"/>
    <m/>
    <m/>
    <x v="0"/>
    <x v="0"/>
    <x v="1"/>
    <x v="1"/>
    <x v="0"/>
    <x v="0"/>
    <m/>
    <m/>
    <m/>
    <m/>
    <m/>
    <m/>
    <m/>
    <m/>
  </r>
  <r>
    <n v="38"/>
    <m/>
    <x v="0"/>
    <x v="11"/>
    <s v="Clima organizacional"/>
    <s v="DIGID"/>
    <s v="Sim, D3, P7_x000a_Sim, D3, P8_x000a_Sim, D3, P9_x000a_Sim, D3, P10"/>
    <s v="Vozes"/>
    <s v="Na minha equipe, as pessoas diferentes são acolhidas.; É fácil pedir ajuda a outros membros dessa equipe.; Membros da minha equipe respeitam e valorizam as contribuições uns dos outros."/>
    <s v="Objetivos_x000a_organizacionais"/>
    <s v="Impacto"/>
    <n v="1"/>
    <s v="Pesquisa Vozes 1 e 2"/>
    <m/>
    <s v="5 - Dados disponíveis/obtidos"/>
    <m/>
    <m/>
    <x v="0"/>
    <x v="0"/>
    <x v="1"/>
    <x v="1"/>
    <x v="0"/>
    <x v="0"/>
    <m/>
    <m/>
    <m/>
    <m/>
    <m/>
    <m/>
    <m/>
    <m/>
  </r>
  <r>
    <n v="39"/>
    <m/>
    <x v="0"/>
    <x v="12"/>
    <m/>
    <s v="DIGID"/>
    <s v="Sim, D4, P11"/>
    <s v="Externa à DIGID"/>
    <m/>
    <s v="Gestão de RH – Atividades e Processos"/>
    <s v="Produto"/>
    <n v="5"/>
    <s v="Mapear fonte"/>
    <s v="Depende de acesso a dados com a unidade responsável"/>
    <s v="1 - Mapear fonte"/>
    <m/>
    <m/>
    <x v="0"/>
    <x v="0"/>
    <x v="0"/>
    <x v="0"/>
    <x v="0"/>
    <x v="0"/>
    <m/>
    <m/>
    <m/>
    <m/>
    <m/>
    <m/>
    <m/>
    <m/>
  </r>
  <r>
    <n v="40"/>
    <m/>
    <x v="0"/>
    <x v="13"/>
    <m/>
    <s v="DIGID"/>
    <s v="Não"/>
    <s v="_"/>
    <m/>
    <m/>
    <s v="Produto"/>
    <n v="5"/>
    <m/>
    <s v="Depende de acesso a dados com a unidade responsável"/>
    <s v="A avaliar"/>
    <m/>
    <m/>
    <x v="0"/>
    <x v="0"/>
    <x v="0"/>
    <x v="0"/>
    <x v="0"/>
    <x v="0"/>
    <m/>
    <m/>
    <m/>
    <m/>
    <m/>
    <m/>
    <m/>
    <m/>
  </r>
  <r>
    <n v="41"/>
    <m/>
    <x v="0"/>
    <x v="14"/>
    <m/>
    <s v="DIGID"/>
    <s v="Sim, D3, P7_x000a_Sim, D4, P13"/>
    <s v="Externa à DIGID"/>
    <m/>
    <s v="Gestão de RH – Atividades e Processos"/>
    <s v="Produto"/>
    <n v="5"/>
    <s v="Mapear fonte"/>
    <s v="Depende de acesso a dados com a unidade responsável"/>
    <s v="1 - Mapear fonte"/>
    <m/>
    <m/>
    <x v="0"/>
    <x v="0"/>
    <x v="1"/>
    <x v="0"/>
    <x v="0"/>
    <x v="0"/>
    <m/>
    <m/>
    <m/>
    <m/>
    <m/>
    <m/>
    <m/>
    <m/>
  </r>
  <r>
    <n v="42"/>
    <m/>
    <x v="0"/>
    <x v="15"/>
    <m/>
    <s v="DIGID"/>
    <s v="Sim, D4, P12"/>
    <s v="Externa à DIGID"/>
    <m/>
    <s v="Gestão de RH – Atividades e Processos"/>
    <s v="Insumo"/>
    <n v="5"/>
    <s v="Mapear fonte"/>
    <s v="Depende de acesso a dados com a unidade responsável"/>
    <s v="1 - Mapear fonte"/>
    <m/>
    <m/>
    <x v="0"/>
    <x v="0"/>
    <x v="0"/>
    <x v="0"/>
    <x v="0"/>
    <x v="0"/>
    <m/>
    <m/>
    <m/>
    <m/>
    <m/>
    <m/>
    <m/>
    <m/>
  </r>
  <r>
    <n v="43"/>
    <m/>
    <x v="0"/>
    <x v="16"/>
    <m/>
    <s v="DIGID"/>
    <s v="Sim, D4, P12"/>
    <s v="Externa à DIGID"/>
    <m/>
    <s v="Gestão de RH – Atividades e Processos"/>
    <s v="Produto"/>
    <n v="5"/>
    <s v="Mapear fonte"/>
    <s v="Depende de acesso a dados com a unidade responsável"/>
    <s v="1 - Mapear fonte"/>
    <m/>
    <m/>
    <x v="0"/>
    <x v="0"/>
    <x v="0"/>
    <x v="0"/>
    <x v="0"/>
    <x v="0"/>
    <m/>
    <m/>
    <m/>
    <m/>
    <m/>
    <m/>
    <m/>
    <m/>
  </r>
  <r>
    <n v="44"/>
    <m/>
    <x v="0"/>
    <x v="17"/>
    <m/>
    <s v="DIGID"/>
    <s v="Não"/>
    <s v="Insistir no retorno?"/>
    <m/>
    <m/>
    <s v="Produto"/>
    <n v="5"/>
    <m/>
    <s v="Depende de acesso a dados com a unidade responsável"/>
    <s v="A avaliar"/>
    <m/>
    <m/>
    <x v="0"/>
    <x v="0"/>
    <x v="1"/>
    <x v="0"/>
    <x v="0"/>
    <x v="0"/>
    <m/>
    <m/>
    <m/>
    <m/>
    <m/>
    <m/>
    <m/>
    <m/>
  </r>
  <r>
    <n v="45"/>
    <m/>
    <x v="0"/>
    <x v="18"/>
    <s v="Liderança"/>
    <s v="DIGID"/>
    <s v="Sim, D4, P14"/>
    <s v="Externa à DIGID"/>
    <m/>
    <s v="Gestão de RH – Atividades e Processos"/>
    <s v="Produto"/>
    <n v="5"/>
    <s v="ENAP"/>
    <s v="Depende de acesso a dados com a unidade responsável"/>
    <s v="3 - Reunião agendada com unidade responsável"/>
    <m/>
    <m/>
    <x v="0"/>
    <x v="0"/>
    <x v="0"/>
    <x v="0"/>
    <x v="0"/>
    <x v="0"/>
    <m/>
    <m/>
    <m/>
    <m/>
    <m/>
    <m/>
    <m/>
    <m/>
  </r>
  <r>
    <n v="46"/>
    <m/>
    <x v="0"/>
    <x v="19"/>
    <s v="Liderança"/>
    <s v="DIGID"/>
    <s v="Sim, D4, P14"/>
    <s v="Externa à DIGID"/>
    <m/>
    <s v="Gestão de RH – Atividades e Processos"/>
    <s v="Insumo"/>
    <n v="5"/>
    <s v="Mapear fonte"/>
    <s v="Depende de acesso a dados com a unidade responsável"/>
    <s v="1 - Mapear fonte"/>
    <m/>
    <m/>
    <x v="0"/>
    <x v="0"/>
    <x v="0"/>
    <x v="0"/>
    <x v="0"/>
    <x v="0"/>
    <m/>
    <m/>
    <m/>
    <m/>
    <m/>
    <m/>
    <m/>
    <m/>
  </r>
  <r>
    <n v="47"/>
    <m/>
    <x v="0"/>
    <x v="20"/>
    <s v="Liderança"/>
    <s v="DIGID"/>
    <s v="Sim, D4, P14"/>
    <s v="Externa à DIGID"/>
    <m/>
    <s v="Gestão de RH – Atividades e Processos"/>
    <s v="Insumo"/>
    <n v="5"/>
    <s v="Mapear fonte"/>
    <s v="Depende de acesso a dados com a unidade responsável"/>
    <s v="1 - Mapear fonte"/>
    <m/>
    <m/>
    <x v="0"/>
    <x v="0"/>
    <x v="0"/>
    <x v="0"/>
    <x v="0"/>
    <x v="0"/>
    <m/>
    <m/>
    <m/>
    <m/>
    <m/>
    <m/>
    <m/>
    <m/>
  </r>
  <r>
    <n v="48"/>
    <m/>
    <x v="0"/>
    <x v="21"/>
    <s v="Liderança"/>
    <s v="DIGID"/>
    <s v="Sim, D4, P14"/>
    <s v="Externa à DIGID"/>
    <m/>
    <s v="Gestão de RH – Atividades e Processos"/>
    <s v="Insumo"/>
    <n v="5"/>
    <s v="Mapear fonte"/>
    <s v="Depende de acesso a dados com a unidade responsável"/>
    <s v="1 - Mapear fonte"/>
    <m/>
    <m/>
    <x v="0"/>
    <x v="0"/>
    <x v="0"/>
    <x v="0"/>
    <x v="0"/>
    <x v="0"/>
    <m/>
    <m/>
    <m/>
    <m/>
    <m/>
    <m/>
    <m/>
    <m/>
  </r>
  <r>
    <n v="49"/>
    <m/>
    <x v="0"/>
    <x v="22"/>
    <s v="Liderança"/>
    <s v="DIGID"/>
    <s v="Sim, D4, P14"/>
    <s v="SIGEPE"/>
    <m/>
    <s v="Gestão de RH – Atividades e Processos"/>
    <s v="Resultado"/>
    <n v="1"/>
    <s v="SIAPE"/>
    <m/>
    <s v="6 - No shiny"/>
    <m/>
    <m/>
    <x v="0"/>
    <x v="0"/>
    <x v="0"/>
    <x v="0"/>
    <x v="0"/>
    <x v="0"/>
    <m/>
    <m/>
    <m/>
    <m/>
    <m/>
    <m/>
    <m/>
    <m/>
  </r>
  <r>
    <n v="50"/>
    <m/>
    <x v="0"/>
    <x v="23"/>
    <s v="Liderança"/>
    <s v="DIGID"/>
    <s v="Sim, D4, P14"/>
    <s v="SIGEPE"/>
    <m/>
    <s v="Gestão de RH – Atividades e Processos"/>
    <s v="Resultado"/>
    <n v="1"/>
    <s v="SIAPE"/>
    <m/>
    <s v="6 - No shiny"/>
    <s v="Sim"/>
    <m/>
    <x v="0"/>
    <x v="0"/>
    <x v="0"/>
    <x v="0"/>
    <x v="0"/>
    <x v="0"/>
    <m/>
    <m/>
    <m/>
    <m/>
    <m/>
    <m/>
    <m/>
    <m/>
  </r>
  <r>
    <n v="51"/>
    <m/>
    <x v="0"/>
    <x v="24"/>
    <s v="Liderança"/>
    <s v="DIGID"/>
    <s v="Sim, D4, P14"/>
    <s v="SIGEPE"/>
    <m/>
    <s v="Gestão de RH – Atividades e Processos"/>
    <s v="Resultado"/>
    <n v="1"/>
    <s v="SIAPE"/>
    <m/>
    <s v="6 - No shiny"/>
    <m/>
    <m/>
    <x v="0"/>
    <x v="0"/>
    <x v="0"/>
    <x v="0"/>
    <x v="0"/>
    <x v="0"/>
    <m/>
    <m/>
    <m/>
    <m/>
    <m/>
    <m/>
    <m/>
    <m/>
  </r>
  <r>
    <n v="52"/>
    <m/>
    <x v="0"/>
    <x v="25"/>
    <s v="Liderança"/>
    <s v="DIGID"/>
    <s v="Sim, D4, P14"/>
    <s v="SIGEPE"/>
    <m/>
    <s v="Gestão de RH – Atividades e Processos"/>
    <s v="Impacto"/>
    <n v="1"/>
    <s v="SIAPE"/>
    <m/>
    <s v="6 - No shiny"/>
    <m/>
    <m/>
    <x v="0"/>
    <x v="0"/>
    <x v="0"/>
    <x v="0"/>
    <x v="0"/>
    <x v="0"/>
    <m/>
    <m/>
    <m/>
    <m/>
    <m/>
    <m/>
    <m/>
    <m/>
  </r>
  <r>
    <n v="53"/>
    <m/>
    <x v="0"/>
    <x v="26"/>
    <s v="Liderança"/>
    <s v="DIGID"/>
    <s v="Sim, D4, P14"/>
    <s v="SIGEPE"/>
    <m/>
    <s v="Gestão de RH – Atividades e Processos"/>
    <s v="Impacto"/>
    <n v="1"/>
    <s v="SIAPE"/>
    <m/>
    <s v="5 - Dados disponíveis/obtidos"/>
    <m/>
    <m/>
    <x v="0"/>
    <x v="0"/>
    <x v="0"/>
    <x v="0"/>
    <x v="0"/>
    <x v="0"/>
    <m/>
    <m/>
    <m/>
    <m/>
    <m/>
    <m/>
    <m/>
    <m/>
  </r>
  <r>
    <n v="54"/>
    <m/>
    <x v="0"/>
    <x v="27"/>
    <s v="Capacitação"/>
    <s v="DIGID"/>
    <s v="Sim, D4, P12"/>
    <s v="Vozes"/>
    <s v="Vozes - Tenho oportunidades de capacitação suficientes no trabalho para desempenhar minhas tarefas com qualidade."/>
    <s v="Gestão de RH – Atividades e Processos"/>
    <s v="Impacto"/>
    <n v="1"/>
    <s v="Pesquisa Vozes 2"/>
    <m/>
    <s v="5 - Dados disponíveis/obtidos"/>
    <m/>
    <m/>
    <x v="0"/>
    <x v="0"/>
    <x v="0"/>
    <x v="0"/>
    <x v="0"/>
    <x v="0"/>
    <m/>
    <m/>
    <m/>
    <m/>
    <m/>
    <m/>
    <m/>
    <m/>
  </r>
  <r>
    <n v="55"/>
    <m/>
    <x v="0"/>
    <x v="28"/>
    <s v="Liderança"/>
    <s v="DIGID"/>
    <s v="Não"/>
    <s v="Vozes - insistir no retorno?"/>
    <s v="Vozes - Liderança - servidor(a) : Conversa comigo sobre o meu desempenho.; Ajuda a definir ações para aperfeiçoar o meu desempenho.; Oferece apoio técnico quando converso sobre dificuldades na execução das tarefas.;"/>
    <m/>
    <s v="Impacto"/>
    <n v="1"/>
    <s v="Pesquisa Vozes 2 "/>
    <m/>
    <s v="Dados Obtidos"/>
    <m/>
    <m/>
    <x v="0"/>
    <x v="0"/>
    <x v="0"/>
    <x v="0"/>
    <x v="0"/>
    <x v="0"/>
    <m/>
    <m/>
    <m/>
    <m/>
    <m/>
    <m/>
    <m/>
    <m/>
  </r>
  <r>
    <n v="56"/>
    <m/>
    <x v="0"/>
    <x v="29"/>
    <s v="Liderança"/>
    <s v="DIGID"/>
    <s v="Não"/>
    <s v="Vozes - insistir no retorno?"/>
    <s v="Liderança - equipe: Orienta a equipe sobre objetivos a serem alcançados em determinado prazo.; Informa à equipe como os objetivos se alinham à estratégia da organização.; Estabelece com a equipe metas realizáveis.; Considera a complexidade das atividades na definição dos prazos das entregas da equipe.; Reforça a importância das entregas da equipe e as consequências de não as realizar.; Emprega esforços para o bem-estar da equipe.; Incentiva a colaboração entre membros da equipe.; Incentiva a equipe a apresentar ideias e sugestões sobre o trabalho.; Respeita as ideias dos membros da equipe.; Comunica à equipe se a entrega está sendo executada conforme os critérios pactuados.; Planeja com a equipe formas de corrigir erros na execução das entregas.; Reconhece as contribuições da equipe para o alcance das metas."/>
    <m/>
    <s v="Impacto"/>
    <n v="1"/>
    <s v="Pesquisa Vozes 2 "/>
    <m/>
    <s v="Dados Obtidos"/>
    <m/>
    <m/>
    <x v="0"/>
    <x v="0"/>
    <x v="1"/>
    <x v="0"/>
    <x v="0"/>
    <x v="0"/>
    <m/>
    <m/>
    <m/>
    <m/>
    <m/>
    <m/>
    <m/>
    <m/>
  </r>
  <r>
    <n v="57"/>
    <m/>
    <x v="0"/>
    <x v="30"/>
    <s v="Liderança"/>
    <s v="DIGID"/>
    <s v="Não"/>
    <s v="Vozes - insistir no retorno?"/>
    <s v="Assegura que a equipe tenha um entendimento claro do seu propósito._x000a_Sugere novas formas de se pensar como realizar o trabalho_x000a_Fomenta um ambiente que valoriza a comunicação transparente e profissional_x000a_Ajuda diferentes equipes a se comunicarem entre si_x000a_Promove interesses da unidade em equilíbrio com as necessidades dos usuários finais_x000a_Age como um mentor, compartilhando experiências e lições aprendidas_x000a_Busca constantemente oportunidades de autodesenvolvimento com base na identificação de seus pontos fortes e necessidades de desenvolvimento._x000a_Incentiva membros da equipe a participarem de ações de desenvolvimento (curso, oficina, palestra, congresso, entre outros)._x000a_Ajuda a equipe a desenvolver soluções para problemas de relacionamento_x000a_Comunica o que é esperado da equipe_x000a_"/>
    <m/>
    <s v="Impacto"/>
    <n v="1"/>
    <s v="Pesquisa Vozes 1"/>
    <m/>
    <s v="Dados Obtidos"/>
    <m/>
    <m/>
    <x v="0"/>
    <x v="0"/>
    <x v="1"/>
    <x v="0"/>
    <x v="0"/>
    <x v="0"/>
    <m/>
    <m/>
    <m/>
    <m/>
    <m/>
    <m/>
    <m/>
    <m/>
  </r>
  <r>
    <n v="58"/>
    <m/>
    <x v="0"/>
    <x v="31"/>
    <s v="Carreiras"/>
    <s v="DIGID"/>
    <s v="Sim, D2, P5"/>
    <s v="SIGEPE"/>
    <m/>
    <s v="Gestão de RH – Atividades e Processos"/>
    <s v="Resultado"/>
    <n v="1"/>
    <s v="SIAPE"/>
    <m/>
    <s v="6 - No shiny"/>
    <m/>
    <m/>
    <x v="0"/>
    <x v="1"/>
    <x v="0"/>
    <x v="1"/>
    <x v="0"/>
    <x v="0"/>
    <m/>
    <m/>
    <m/>
    <m/>
    <m/>
    <m/>
    <m/>
    <m/>
  </r>
  <r>
    <n v="59"/>
    <m/>
    <x v="0"/>
    <x v="32"/>
    <s v="Carreiras"/>
    <s v="DIGID"/>
    <s v="Sim, D2, P5"/>
    <s v="SIGEPE"/>
    <m/>
    <s v="Gestão de RH – Atividades e Processos"/>
    <s v="Resultado"/>
    <n v="1"/>
    <s v="SIAPE"/>
    <m/>
    <s v="6 - No shiny"/>
    <m/>
    <m/>
    <x v="0"/>
    <x v="1"/>
    <x v="0"/>
    <x v="1"/>
    <x v="0"/>
    <x v="0"/>
    <m/>
    <m/>
    <m/>
    <m/>
    <m/>
    <m/>
    <m/>
    <m/>
  </r>
  <r>
    <n v="60"/>
    <m/>
    <x v="0"/>
    <x v="33"/>
    <s v="Carreiras"/>
    <s v="DIGID"/>
    <s v="Sim, D2, P5"/>
    <s v="SIGEPE"/>
    <m/>
    <s v="Gestão de RH – Atividades e Processos"/>
    <s v="Resultado"/>
    <n v="1"/>
    <s v="SIAPE"/>
    <m/>
    <s v="6 - No shiny"/>
    <m/>
    <m/>
    <x v="0"/>
    <x v="1"/>
    <x v="0"/>
    <x v="1"/>
    <x v="0"/>
    <x v="0"/>
    <m/>
    <m/>
    <m/>
    <m/>
    <m/>
    <m/>
    <m/>
    <m/>
  </r>
  <r>
    <n v="61"/>
    <m/>
    <x v="0"/>
    <x v="34"/>
    <s v="Carreiras"/>
    <s v="DIGID"/>
    <s v="Sim, D2, P5"/>
    <s v="SIGEPE"/>
    <m/>
    <s v="Gestão de RH – Atividades e Processos"/>
    <s v="Resultado"/>
    <n v="1"/>
    <s v="SIAPE"/>
    <m/>
    <s v="6 - No shiny"/>
    <m/>
    <m/>
    <x v="0"/>
    <x v="1"/>
    <x v="0"/>
    <x v="1"/>
    <x v="0"/>
    <x v="0"/>
    <m/>
    <m/>
    <m/>
    <m/>
    <m/>
    <m/>
    <m/>
    <m/>
  </r>
  <r>
    <n v="62"/>
    <m/>
    <x v="0"/>
    <x v="35"/>
    <s v="Carreiras"/>
    <s v="DIGID"/>
    <s v="Sim, D2, P5"/>
    <s v="SIGEPE"/>
    <m/>
    <s v="Gestão de RH – Atividades e Processos"/>
    <s v="Resultado"/>
    <n v="1"/>
    <s v="SIAPE"/>
    <m/>
    <s v="5 - Dados disponíveis/obtidos"/>
    <m/>
    <m/>
    <x v="0"/>
    <x v="1"/>
    <x v="0"/>
    <x v="1"/>
    <x v="0"/>
    <x v="0"/>
    <m/>
    <m/>
    <m/>
    <m/>
    <m/>
    <m/>
    <m/>
    <m/>
  </r>
  <r>
    <n v="66"/>
    <m/>
    <x v="0"/>
    <x v="2"/>
    <s v="Justiça remuneratória"/>
    <s v="DIGID"/>
    <s v="repetido"/>
    <s v="_"/>
    <s v="Sou remunerado(a) de maneira justa por minha responsabilidade no trabalho.; Sou remunerado(a) de maneira justa pela qualidade do trabalho que apresento.; Comparando-me aos demais servidores públicos efetivos que possuem atribuições semelhantes às minhas, recebo uma remuneração justa."/>
    <s v="Gestão de RH – Resultados"/>
    <s v="Impacto"/>
    <n v="1"/>
    <s v="Pesquisa Vozes 1 e 2"/>
    <m/>
    <s v="Dados Obtidos"/>
    <m/>
    <m/>
    <x v="0"/>
    <x v="1"/>
    <x v="0"/>
    <x v="1"/>
    <x v="1"/>
    <x v="0"/>
    <m/>
    <m/>
    <m/>
    <m/>
    <m/>
    <m/>
    <m/>
    <m/>
  </r>
  <r>
    <n v="67"/>
    <m/>
    <x v="0"/>
    <x v="36"/>
    <s v="Promoção"/>
    <s v="DIGID"/>
    <s v="Sim, D2, P6"/>
    <s v="Vozes"/>
    <s v="Vozes - Critérios de promoção: Experiência profissional; Desempenho profissional; Formação educacional; Redes de relacionamento; Apoio de um político ou de alguém com conexões políticas"/>
    <s v="Gestão de RH – Resultados"/>
    <s v="Impacto"/>
    <n v="1"/>
    <s v="Pesquisa Vozes 1 e 2"/>
    <m/>
    <s v="5 - Dados disponíveis/obtidos"/>
    <m/>
    <m/>
    <x v="0"/>
    <x v="1"/>
    <x v="0"/>
    <x v="2"/>
    <x v="1"/>
    <x v="0"/>
    <m/>
    <m/>
    <m/>
    <m/>
    <m/>
    <m/>
    <m/>
    <m/>
  </r>
  <r>
    <n v="70"/>
    <m/>
    <x v="0"/>
    <x v="37"/>
    <s v="Clima organizacional"/>
    <s v="DIGID"/>
    <s v="Sim, D5, P16"/>
    <s v="Vozes"/>
    <s v="Vozes - Estou satisfeito(a) com meu trabalho.; Quero deixar de trabalhar no setor público."/>
    <s v="Gestão de RH – Resultados"/>
    <s v="Impacto"/>
    <n v="1"/>
    <s v="Pesquisa Vozes 1 e 2"/>
    <m/>
    <s v="5 - Dados disponíveis/obtidos"/>
    <m/>
    <m/>
    <x v="0"/>
    <x v="0"/>
    <x v="0"/>
    <x v="1"/>
    <x v="1"/>
    <x v="0"/>
    <m/>
    <m/>
    <m/>
    <m/>
    <m/>
    <m/>
    <m/>
    <m/>
  </r>
  <r>
    <n v="73"/>
    <m/>
    <x v="0"/>
    <x v="38"/>
    <m/>
    <s v="DIGID"/>
    <s v="Sim, D6, P19"/>
    <s v="SIGEPE?"/>
    <m/>
    <s v="Gestão de RH – Resultados"/>
    <s v="Resultado"/>
    <n v="2"/>
    <s v="SIAPE"/>
    <m/>
    <s v="5 - Dados disponíveis/obtidos"/>
    <m/>
    <m/>
    <x v="0"/>
    <x v="0"/>
    <x v="0"/>
    <x v="1"/>
    <x v="0"/>
    <x v="1"/>
    <m/>
    <m/>
    <m/>
    <m/>
    <m/>
    <m/>
    <m/>
    <m/>
  </r>
  <r>
    <n v="1"/>
    <s v="1. Planejamento da Força de Trabalho"/>
    <x v="2"/>
    <x v="39"/>
    <m/>
    <s v="PFGP 2030"/>
    <s v="Sim, D1, P1"/>
    <s v="Externa à DIGID"/>
    <m/>
    <s v="Gestão de RH – Atividades e Processos"/>
    <s v="Insumo"/>
    <n v="4"/>
    <s v="DEPRO"/>
    <s v="Trata-se de um dashboard não publicado. O ideal seria partir da mesma fonte de dados utilizado nesse dashboard"/>
    <s v="2 - A agendar com unidade responsável"/>
    <m/>
    <m/>
    <x v="1"/>
    <x v="0"/>
    <x v="0"/>
    <x v="1"/>
    <x v="0"/>
    <x v="0"/>
    <s v="Ocasional"/>
    <m/>
    <m/>
    <m/>
    <n v="1"/>
    <s v="Dezembro/último mês"/>
    <m/>
    <m/>
  </r>
  <r>
    <n v="2"/>
    <s v="1. Planejamento da Força de Trabalho"/>
    <x v="3"/>
    <x v="40"/>
    <m/>
    <s v="PFGP 2030"/>
    <s v="Sim, D1, P4"/>
    <s v="Externa à DIGID"/>
    <m/>
    <s v="Gestão de RH – Atividades e Processos"/>
    <s v="Atividade"/>
    <n v="5"/>
    <s v="DEPRO"/>
    <s v="Dificuldade para certificar que a movimentação foi motivada por um planejamento prévio"/>
    <s v="2 - A agendar com unidade responsável"/>
    <m/>
    <m/>
    <x v="1"/>
    <x v="0"/>
    <x v="0"/>
    <x v="1"/>
    <x v="0"/>
    <x v="0"/>
    <m/>
    <m/>
    <m/>
    <m/>
    <n v="1"/>
    <m/>
    <m/>
    <m/>
  </r>
  <r>
    <n v="3"/>
    <s v="1. Planejamento da Força de Trabalho"/>
    <x v="4"/>
    <x v="41"/>
    <s v="Provimento"/>
    <s v="PFGP 2030"/>
    <s v="Sim, D1, P3"/>
    <s v="Externa à DIGID"/>
    <m/>
    <s v="Gestão de RH – Atividades e Processos"/>
    <s v="Atividade"/>
    <n v="5"/>
    <s v="DEPRO"/>
    <s v="Dificuldade para certificar que o ingresso foi motivado por um planejamento prévio"/>
    <s v="2 - A agendar com unidade responsável"/>
    <m/>
    <m/>
    <x v="1"/>
    <x v="0"/>
    <x v="0"/>
    <x v="1"/>
    <x v="0"/>
    <x v="0"/>
    <m/>
    <m/>
    <m/>
    <m/>
    <n v="1"/>
    <m/>
    <m/>
    <m/>
  </r>
  <r>
    <n v="4"/>
    <s v="1. Planejamento da Força de Trabalho"/>
    <x v="4"/>
    <x v="42"/>
    <s v="Equidade de acesso"/>
    <s v="PFGP 2030"/>
    <s v="repetido"/>
    <s v="_"/>
    <m/>
    <s v="Gestão de RH – Resultados"/>
    <s v="Resultado"/>
    <n v="1"/>
    <s v="SIAPE"/>
    <m/>
    <s v="Publicado"/>
    <m/>
    <m/>
    <x v="1"/>
    <x v="0"/>
    <x v="0"/>
    <x v="1"/>
    <x v="0"/>
    <x v="0"/>
    <m/>
    <m/>
    <m/>
    <m/>
    <n v="0.3"/>
    <m/>
    <m/>
    <s v="https://wesleysilva88.github.io/teste_consolida_indexes/"/>
  </r>
  <r>
    <n v="5"/>
    <s v="Dimensão 2: Carreiras, cargos e progressão"/>
    <x v="5"/>
    <x v="43"/>
    <m/>
    <s v="PFGP 2030"/>
    <s v="Sim, D2, P5"/>
    <s v="Externa à DIGID"/>
    <m/>
    <s v="Gestão de RH – Atividades e Processos"/>
    <s v="Atividade"/>
    <n v="5"/>
    <s v="Mapear fonte"/>
    <s v="Dificuldade para definir, de forma sistemática, o excesso de fragmentação da estrutura"/>
    <s v="1 - Mapear fonte"/>
    <m/>
    <m/>
    <x v="0"/>
    <x v="1"/>
    <x v="0"/>
    <x v="1"/>
    <x v="0"/>
    <x v="0"/>
    <m/>
    <m/>
    <m/>
    <m/>
    <m/>
    <m/>
    <m/>
    <m/>
  </r>
  <r>
    <n v="6"/>
    <s v="Dimensão 2: Carreiras, cargos e progressão"/>
    <x v="5"/>
    <x v="44"/>
    <m/>
    <s v="PFGP 2030"/>
    <s v="Sim, D2, P5"/>
    <s v="Externa à DIGID"/>
    <m/>
    <s v="Gestão de RH – Atividades e Processos"/>
    <s v="Insumo"/>
    <n v="4"/>
    <s v="Mapear fonte"/>
    <s v="Depende da avaliação desses critérios pela área responsável (DECAR)"/>
    <s v="1 - Mapear fonte"/>
    <m/>
    <m/>
    <x v="0"/>
    <x v="1"/>
    <x v="0"/>
    <x v="1"/>
    <x v="0"/>
    <x v="0"/>
    <m/>
    <m/>
    <m/>
    <m/>
    <n v="1"/>
    <m/>
    <m/>
    <m/>
  </r>
  <r>
    <n v="7"/>
    <s v="Dimensão 2: Carreiras, cargos e progressão"/>
    <x v="5"/>
    <x v="45"/>
    <m/>
    <s v="PFGP 2030"/>
    <s v="Sim, D2, P5"/>
    <s v="Externa à DIGID"/>
    <m/>
    <s v="Gestão de RH – Atividades e Processos"/>
    <s v="Insumo"/>
    <n v="4"/>
    <s v="Mapear fonte"/>
    <s v="Depende da avaliação desses critérios pela área responsável (DECAR)"/>
    <s v="1 - Mapear fonte"/>
    <m/>
    <m/>
    <x v="0"/>
    <x v="1"/>
    <x v="0"/>
    <x v="1"/>
    <x v="0"/>
    <x v="0"/>
    <m/>
    <m/>
    <m/>
    <m/>
    <n v="1"/>
    <m/>
    <m/>
    <m/>
  </r>
  <r>
    <n v="8"/>
    <s v="Dimensão 2: Carreiras, cargos e progressão"/>
    <x v="6"/>
    <x v="46"/>
    <m/>
    <s v="PFGP 2030"/>
    <s v="Não"/>
    <s v="Insistir no retorno?"/>
    <m/>
    <s v="Gestão de RH – Atividades e Processos"/>
    <s v="Insumo"/>
    <n v="4"/>
    <m/>
    <s v="Depende da avaliação desses critérios pela área responsável (DECAR)"/>
    <s v="A avaliar"/>
    <m/>
    <m/>
    <x v="0"/>
    <x v="1"/>
    <x v="0"/>
    <x v="1"/>
    <x v="0"/>
    <x v="0"/>
    <m/>
    <m/>
    <m/>
    <m/>
    <n v="1"/>
    <m/>
    <m/>
    <m/>
  </r>
  <r>
    <n v="9"/>
    <s v="Dimensão 3: alocação, ambientação e bem-estar"/>
    <x v="7"/>
    <x v="47"/>
    <m/>
    <s v="PFGP 2030"/>
    <s v="Não"/>
    <s v="_"/>
    <m/>
    <s v="Gestão de RH – Atividades e Processos"/>
    <s v="Produto"/>
    <n v="5"/>
    <m/>
    <s v="Depende de indicador sistêmico sobre preechimento e uso de perfil profissiográfico"/>
    <s v="A avaliar"/>
    <m/>
    <m/>
    <x v="0"/>
    <x v="0"/>
    <x v="1"/>
    <x v="1"/>
    <x v="0"/>
    <x v="0"/>
    <m/>
    <m/>
    <m/>
    <m/>
    <n v="1"/>
    <m/>
    <m/>
    <m/>
  </r>
  <r>
    <n v="10"/>
    <s v="Dimensão 3: alocação, ambientação e bem-estar"/>
    <x v="7"/>
    <x v="48"/>
    <m/>
    <s v="PFGP 2030"/>
    <s v="Não"/>
    <s v="_"/>
    <m/>
    <s v="Gestão de RH – Atividades e Processos"/>
    <s v="Insumo"/>
    <n v="5"/>
    <m/>
    <s v="Depende de levantamento junto às UGPs"/>
    <s v="A avaliar"/>
    <m/>
    <m/>
    <x v="0"/>
    <x v="0"/>
    <x v="1"/>
    <x v="1"/>
    <x v="0"/>
    <x v="0"/>
    <m/>
    <m/>
    <m/>
    <m/>
    <n v="1"/>
    <m/>
    <m/>
    <m/>
  </r>
  <r>
    <n v="11"/>
    <s v="Dimensão 3: alocação, ambientação e bem-estar"/>
    <x v="8"/>
    <x v="49"/>
    <m/>
    <s v="PFGP 2030"/>
    <s v="Não"/>
    <s v="_"/>
    <m/>
    <s v="Gestão de RH – Atividades e Processos"/>
    <s v="Produto"/>
    <n v="5"/>
    <m/>
    <m/>
    <s v="A avaliar"/>
    <m/>
    <m/>
    <x v="0"/>
    <x v="0"/>
    <x v="1"/>
    <x v="1"/>
    <x v="0"/>
    <x v="0"/>
    <m/>
    <m/>
    <m/>
    <m/>
    <n v="1"/>
    <m/>
    <m/>
    <m/>
  </r>
  <r>
    <n v="12"/>
    <s v="Dimensão 3: alocação, ambientação e bem-estar"/>
    <x v="8"/>
    <x v="50"/>
    <m/>
    <s v="PFGP 2030"/>
    <s v="Sim, D4, P13"/>
    <s v="Externa à DIGID"/>
    <m/>
    <s v="Gestão de RH – Atividades e Processos"/>
    <s v="Produto"/>
    <n v="4"/>
    <s v="ENAP"/>
    <s v="Depende de levantamento junto à ENAP ou às UGPs da relação de matriculados no PDI"/>
    <s v="2 - A agendar com unidade responsável"/>
    <m/>
    <m/>
    <x v="0"/>
    <x v="0"/>
    <x v="0"/>
    <x v="0"/>
    <x v="0"/>
    <x v="0"/>
    <m/>
    <m/>
    <m/>
    <m/>
    <n v="1"/>
    <m/>
    <m/>
    <m/>
  </r>
  <r>
    <n v="15"/>
    <s v="Dimensão 3: alocação, ambientação e bem-estar"/>
    <x v="9"/>
    <x v="51"/>
    <m/>
    <s v="PFGP 2030"/>
    <s v="Não"/>
    <s v="_"/>
    <m/>
    <s v="Gestão de RH – Atividades e Processos"/>
    <s v="Insumo"/>
    <n v="5"/>
    <m/>
    <s v="Depende de levantamento junto às UGPs"/>
    <s v="A avaliar"/>
    <m/>
    <m/>
    <x v="0"/>
    <x v="0"/>
    <x v="1"/>
    <x v="1"/>
    <x v="0"/>
    <x v="0"/>
    <m/>
    <m/>
    <m/>
    <m/>
    <n v="1"/>
    <m/>
    <m/>
    <m/>
  </r>
  <r>
    <n v="16"/>
    <s v="Dimensão 3: alocação, ambientação e bem-estar"/>
    <x v="10"/>
    <x v="52"/>
    <m/>
    <s v="PFGP 2030"/>
    <s v="Não"/>
    <s v="_"/>
    <m/>
    <s v="Gestão de RH – Atividades e Processos"/>
    <s v="Insumo"/>
    <n v="4"/>
    <m/>
    <s v="Depende de levantamento junto às UGPs"/>
    <s v="A avaliar"/>
    <m/>
    <m/>
    <x v="0"/>
    <x v="0"/>
    <x v="1"/>
    <x v="1"/>
    <x v="0"/>
    <x v="0"/>
    <m/>
    <m/>
    <m/>
    <m/>
    <n v="1"/>
    <m/>
    <m/>
    <m/>
  </r>
  <r>
    <n v="17"/>
    <m/>
    <x v="0"/>
    <x v="53"/>
    <m/>
    <s v="PFGP 2030"/>
    <s v="Não"/>
    <s v="_"/>
    <m/>
    <m/>
    <s v="Produto"/>
    <n v="3"/>
    <s v="SIASS"/>
    <s v="Depende de acesso ao SIASS (DIPAS)"/>
    <s v="A avaliar"/>
    <m/>
    <m/>
    <x v="0"/>
    <x v="0"/>
    <x v="1"/>
    <x v="1"/>
    <x v="0"/>
    <x v="0"/>
    <m/>
    <m/>
    <m/>
    <m/>
    <m/>
    <m/>
    <m/>
    <m/>
  </r>
  <r>
    <n v="18"/>
    <s v="Dimensão 4: Desenvolvimento e Desempenho"/>
    <x v="11"/>
    <x v="54"/>
    <s v="Gestão de desempenho"/>
    <s v="PFGP 2030"/>
    <s v="Não"/>
    <s v="Insistir no retorno?"/>
    <m/>
    <s v="Gestão de RH – Atividades e Processos"/>
    <s v="Insumo"/>
    <n v="1"/>
    <s v="SIAPE"/>
    <m/>
    <s v="A calcular"/>
    <m/>
    <m/>
    <x v="0"/>
    <x v="0"/>
    <x v="0"/>
    <x v="0"/>
    <x v="0"/>
    <x v="0"/>
    <m/>
    <m/>
    <m/>
    <m/>
    <m/>
    <m/>
    <m/>
    <m/>
  </r>
  <r>
    <n v="19"/>
    <s v="Dimensão 4: Desenvolvimento e Desempenho"/>
    <x v="11"/>
    <x v="55"/>
    <s v="Gestão de desempenho"/>
    <s v="PFGP 2030"/>
    <s v="Não"/>
    <s v="Insistir no retorno?"/>
    <m/>
    <s v="Gestão de RH – Atividades e Processos"/>
    <s v="Atividade"/>
    <n v="1"/>
    <s v="SIAPE"/>
    <m/>
    <s v="A calcular"/>
    <m/>
    <m/>
    <x v="0"/>
    <x v="0"/>
    <x v="0"/>
    <x v="0"/>
    <x v="0"/>
    <x v="0"/>
    <m/>
    <m/>
    <m/>
    <m/>
    <m/>
    <m/>
    <m/>
    <m/>
  </r>
  <r>
    <n v="20"/>
    <s v="Dimensão 4: Desenvolvimento e Desempenho"/>
    <x v="11"/>
    <x v="56"/>
    <m/>
    <s v="PFGP 2030"/>
    <s v="Não"/>
    <s v="_"/>
    <m/>
    <s v="Gestão de RH – Atividades e Processos"/>
    <s v="Produto"/>
    <n v="5"/>
    <m/>
    <s v="Depende de levantamento junto às UGPs"/>
    <s v="A avaliar"/>
    <m/>
    <m/>
    <x v="0"/>
    <x v="0"/>
    <x v="0"/>
    <x v="0"/>
    <x v="0"/>
    <x v="0"/>
    <m/>
    <m/>
    <m/>
    <m/>
    <m/>
    <m/>
    <m/>
    <m/>
  </r>
  <r>
    <n v="21"/>
    <s v="Dimensão 4: Desenvolvimento e Desempenho"/>
    <x v="12"/>
    <x v="57"/>
    <m/>
    <s v="PFGP 2030"/>
    <s v="Não (atendimento PNDP)"/>
    <s v="_"/>
    <m/>
    <s v="Gestão de RH – Atividades e Processos"/>
    <s v="Atividade"/>
    <n v="5"/>
    <m/>
    <s v="Depende de levantamento junto às UGPs"/>
    <s v="A avaliar"/>
    <m/>
    <m/>
    <x v="0"/>
    <x v="0"/>
    <x v="0"/>
    <x v="0"/>
    <x v="0"/>
    <x v="0"/>
    <m/>
    <m/>
    <m/>
    <m/>
    <m/>
    <m/>
    <m/>
    <m/>
  </r>
  <r>
    <n v="22"/>
    <s v="Dimensão 4: Desenvolvimento e Desempenho"/>
    <x v="12"/>
    <x v="58"/>
    <m/>
    <s v="PFGP 2030"/>
    <s v="Não"/>
    <s v="_"/>
    <m/>
    <s v="Gestão de RH – Atividades e Processos"/>
    <s v="Atividade"/>
    <n v="5"/>
    <m/>
    <s v="Depende de levantamento junto às UGPs"/>
    <s v="A avaliar"/>
    <m/>
    <m/>
    <x v="0"/>
    <x v="0"/>
    <x v="0"/>
    <x v="0"/>
    <x v="0"/>
    <x v="0"/>
    <m/>
    <m/>
    <m/>
    <m/>
    <m/>
    <m/>
    <m/>
    <m/>
  </r>
  <r>
    <n v="23"/>
    <s v="Dimensão 5: Remuneração, Benefícios, Reconhecimento e Recompensas Não Pecuniárias"/>
    <x v="1"/>
    <x v="59"/>
    <m/>
    <s v="PFGP 2030"/>
    <s v="Não"/>
    <s v="_"/>
    <m/>
    <s v="Gestão de RH – Atividades e Processos"/>
    <s v="Insumo"/>
    <n v="5"/>
    <m/>
    <s v="Depende de levantamento junto às UGPs"/>
    <s v="A avaliar"/>
    <m/>
    <m/>
    <x v="0"/>
    <x v="0"/>
    <x v="0"/>
    <x v="1"/>
    <x v="1"/>
    <x v="0"/>
    <m/>
    <m/>
    <m/>
    <m/>
    <m/>
    <m/>
    <m/>
    <m/>
  </r>
  <r>
    <n v="24"/>
    <s v="Dimensão 5: Remuneração, Benefícios, Reconhecimento e Recompensas Não Pecuniárias"/>
    <x v="1"/>
    <x v="60"/>
    <m/>
    <s v="PFGP 2030"/>
    <s v="Não"/>
    <s v="_"/>
    <m/>
    <s v="Gestão de RH – Atividades e Processos"/>
    <s v="Atividade"/>
    <n v="5"/>
    <m/>
    <s v="Depende de levantamento junto às UGPs"/>
    <s v="A avaliar"/>
    <m/>
    <m/>
    <x v="0"/>
    <x v="0"/>
    <x v="0"/>
    <x v="1"/>
    <x v="1"/>
    <x v="0"/>
    <m/>
    <m/>
    <m/>
    <m/>
    <m/>
    <m/>
    <m/>
    <m/>
  </r>
  <r>
    <n v="25"/>
    <s v="Dimensão 5: Remuneração, Benefícios, Reconhecimento e Recompensas Não Pecuniárias"/>
    <x v="1"/>
    <x v="61"/>
    <s v="Justiça remuneratória"/>
    <s v="PFGP 2030"/>
    <s v="Sim, D5, P15_x000a_Sim, D5, P16 "/>
    <s v="SIGEPE?"/>
    <m/>
    <s v="Gestão de RH – Resultados"/>
    <s v="Impacto"/>
    <n v="2"/>
    <s v="SIAPE"/>
    <m/>
    <s v="5 - Dados disponíveis/obtidos"/>
    <m/>
    <m/>
    <x v="0"/>
    <x v="0"/>
    <x v="0"/>
    <x v="1"/>
    <x v="1"/>
    <x v="0"/>
    <m/>
    <m/>
    <m/>
    <m/>
    <m/>
    <m/>
    <m/>
    <s v="https://github.com/mar-celo/Indice_de_Gini"/>
  </r>
  <r>
    <n v="27"/>
    <s v="Dimensão 6: Aposentação, Pensões e Desligamentos "/>
    <x v="13"/>
    <x v="62"/>
    <m/>
    <s v="PFGP 2030"/>
    <s v="Não"/>
    <s v="_"/>
    <m/>
    <s v="Gestão de RH – Atividades e Processos"/>
    <s v="Atividade"/>
    <n v="5"/>
    <m/>
    <s v="Depende de levantamento junto às UGPs"/>
    <s v="A avaliar"/>
    <m/>
    <m/>
    <x v="0"/>
    <x v="0"/>
    <x v="0"/>
    <x v="1"/>
    <x v="0"/>
    <x v="1"/>
    <m/>
    <m/>
    <m/>
    <m/>
    <m/>
    <m/>
    <m/>
    <m/>
  </r>
  <r>
    <n v="28"/>
    <s v="Dimensão 6: Aposentação, Pensões e Desligamentos "/>
    <x v="14"/>
    <x v="63"/>
    <m/>
    <s v="PFGP 2030"/>
    <s v="Sim, D6, P20"/>
    <s v="Externa à DIGID"/>
    <m/>
    <s v="Gestão de RH – Atividades e Processos"/>
    <s v="Atividade"/>
    <n v="5"/>
    <s v="Mapear fonte"/>
    <s v="Depende de levantamento junto às UGPs"/>
    <s v="1 - Mapear fonte"/>
    <m/>
    <m/>
    <x v="0"/>
    <x v="0"/>
    <x v="0"/>
    <x v="1"/>
    <x v="0"/>
    <x v="1"/>
    <m/>
    <m/>
    <m/>
    <m/>
    <m/>
    <m/>
    <m/>
    <m/>
  </r>
  <r>
    <n v="29"/>
    <s v="Dimensão 6: Aposentação, Pensões e Desligamentos "/>
    <x v="14"/>
    <x v="64"/>
    <m/>
    <s v="PFGP 2030"/>
    <s v="Sim, D6, P20"/>
    <s v="Externa à DIGID"/>
    <m/>
    <s v="Gestão de RH – Atividades e Processos"/>
    <s v="Atividade"/>
    <n v="4"/>
    <s v="Mapear fonte"/>
    <s v="Depende de acesso a dados de tramitação de processos (SEI/DIPAS)"/>
    <s v="1 - Mapear fonte"/>
    <m/>
    <m/>
    <x v="0"/>
    <x v="0"/>
    <x v="0"/>
    <x v="1"/>
    <x v="0"/>
    <x v="1"/>
    <m/>
    <m/>
    <m/>
    <m/>
    <m/>
    <m/>
    <m/>
    <m/>
  </r>
  <r>
    <n v="80"/>
    <m/>
    <x v="0"/>
    <x v="65"/>
    <m/>
    <s v="PFGP 2030"/>
    <s v="Sim, D6, P19"/>
    <s v="Externa à DIGID"/>
    <m/>
    <s v="Gestão de RH – Atividades e Processos"/>
    <s v="Insumo"/>
    <n v="2"/>
    <s v="Mapear fonte"/>
    <m/>
    <s v="5 - Dados disponíveis/obtidos"/>
    <m/>
    <m/>
    <x v="0"/>
    <x v="0"/>
    <x v="0"/>
    <x v="1"/>
    <x v="0"/>
    <x v="1"/>
    <m/>
    <m/>
    <m/>
    <m/>
    <m/>
    <m/>
    <m/>
    <m/>
  </r>
  <r>
    <n v="81"/>
    <m/>
    <x v="0"/>
    <x v="66"/>
    <m/>
    <s v="PFGP 2030"/>
    <s v="Sim, D6, P20"/>
    <s v="Externa à DIGID"/>
    <m/>
    <s v="Gestão de RH – Atividades e Processos"/>
    <s v="Produto"/>
    <n v="3"/>
    <s v="Mapear fonte"/>
    <m/>
    <s v="1 - Mapear fonte"/>
    <m/>
    <m/>
    <x v="0"/>
    <x v="0"/>
    <x v="0"/>
    <x v="1"/>
    <x v="0"/>
    <x v="1"/>
    <m/>
    <m/>
    <m/>
    <m/>
    <m/>
    <m/>
    <m/>
    <m/>
  </r>
  <r>
    <n v="56"/>
    <m/>
    <x v="0"/>
    <x v="67"/>
    <m/>
    <m/>
    <s v="Sim, D2, P5"/>
    <s v="Externa à DIGID"/>
    <m/>
    <s v="Gestão de RH – Atividades e Processos"/>
    <s v="Insumo"/>
    <n v="5"/>
    <s v="Mapear fonte"/>
    <s v="Falta definição de 'racionalidade'"/>
    <s v="1 - Mapear fonte"/>
    <m/>
    <m/>
    <x v="0"/>
    <x v="1"/>
    <x v="0"/>
    <x v="1"/>
    <x v="0"/>
    <x v="0"/>
    <m/>
    <m/>
    <m/>
    <m/>
    <m/>
    <m/>
    <m/>
    <m/>
  </r>
  <r>
    <n v="57"/>
    <m/>
    <x v="0"/>
    <x v="68"/>
    <m/>
    <m/>
    <s v="Sim, D2, P5"/>
    <s v="Externa à DIGID"/>
    <m/>
    <s v="Gestão de RH – Atividades e Processos"/>
    <s v="Insumo"/>
    <n v="5"/>
    <s v="Mapear fonte"/>
    <s v="Falta definição de 'racionalidade'"/>
    <s v="1 - Mapear fonte"/>
    <m/>
    <m/>
    <x v="0"/>
    <x v="1"/>
    <x v="0"/>
    <x v="1"/>
    <x v="0"/>
    <x v="0"/>
    <m/>
    <m/>
    <m/>
    <m/>
    <m/>
    <m/>
    <m/>
    <m/>
  </r>
  <r>
    <n v="63"/>
    <m/>
    <x v="0"/>
    <x v="69"/>
    <m/>
    <m/>
    <s v="Sim, D2, P5"/>
    <s v="SIGEPE"/>
    <m/>
    <s v="Gestão de RH – Atividades e Processos"/>
    <s v="Resultado"/>
    <n v="3"/>
    <s v="SIAPE"/>
    <s v="Depende da relação de carreiras e cargos"/>
    <s v="5 - Dados disponíveis/obtidos"/>
    <m/>
    <m/>
    <x v="0"/>
    <x v="1"/>
    <x v="0"/>
    <x v="1"/>
    <x v="0"/>
    <x v="0"/>
    <m/>
    <m/>
    <m/>
    <m/>
    <m/>
    <m/>
    <m/>
    <m/>
  </r>
  <r>
    <n v="64"/>
    <m/>
    <x v="0"/>
    <x v="70"/>
    <m/>
    <m/>
    <s v="Sim, D2, P6"/>
    <s v="SIGEPE"/>
    <m/>
    <s v="Gestão de RH – Resultados"/>
    <s v="Impacto"/>
    <n v="2"/>
    <s v="SIAPE  "/>
    <m/>
    <s v="5 - Dados disponíveis/obtidos"/>
    <m/>
    <m/>
    <x v="0"/>
    <x v="1"/>
    <x v="0"/>
    <x v="1"/>
    <x v="0"/>
    <x v="0"/>
    <m/>
    <m/>
    <m/>
    <m/>
    <m/>
    <m/>
    <m/>
    <m/>
  </r>
  <r>
    <n v="65"/>
    <m/>
    <x v="0"/>
    <x v="71"/>
    <m/>
    <m/>
    <s v="Sim, D1, P4"/>
    <s v="SIGEPE"/>
    <m/>
    <s v="Gestão de RH – Resultados"/>
    <s v="Impacto"/>
    <n v="2"/>
    <s v="SIAPE  "/>
    <s v="Não é um indicador, porém uma visualização de indicador"/>
    <s v="Excluído"/>
    <m/>
    <m/>
    <x v="1"/>
    <x v="0"/>
    <x v="0"/>
    <x v="1"/>
    <x v="0"/>
    <x v="0"/>
    <m/>
    <m/>
    <m/>
    <m/>
    <m/>
    <m/>
    <m/>
    <m/>
  </r>
  <r>
    <n v="68"/>
    <m/>
    <x v="0"/>
    <x v="72"/>
    <s v="Clima organizacional"/>
    <m/>
    <s v="Sim, D5, P16_x000a_Sim, D5, P18"/>
    <s v="Vozes"/>
    <s v="Meu trabalho é inspirador; Estou entusiasmado(a) com meu trabalho.; Tenho orgulho do trabalho que realizo.; Sinto-me envolvido(a) com o trabalho que faço."/>
    <s v="Gestão de RH – Resultados"/>
    <s v="Impacto"/>
    <n v="1"/>
    <s v="Pesquisa Vozes 1 e 2"/>
    <m/>
    <s v="5 - Dados disponíveis/obtidos"/>
    <m/>
    <m/>
    <x v="0"/>
    <x v="0"/>
    <x v="0"/>
    <x v="1"/>
    <x v="1"/>
    <x v="0"/>
    <m/>
    <m/>
    <m/>
    <m/>
    <m/>
    <m/>
    <m/>
    <m/>
  </r>
  <r>
    <n v="72"/>
    <m/>
    <x v="0"/>
    <x v="73"/>
    <m/>
    <m/>
    <s v="Sim, D5, P18"/>
    <s v="Externa à DIGID"/>
    <m/>
    <s v="Gestão de RH – Atividades e Processos"/>
    <s v="Atividade"/>
    <n v="5"/>
    <s v="Mapear fonte"/>
    <s v="Depende de critérios de definição junto à unidade responsável"/>
    <s v="1 - Mapear fonte"/>
    <m/>
    <m/>
    <x v="0"/>
    <x v="0"/>
    <x v="0"/>
    <x v="1"/>
    <x v="1"/>
    <x v="0"/>
    <m/>
    <m/>
    <m/>
    <m/>
    <m/>
    <m/>
    <m/>
    <m/>
  </r>
  <r>
    <n v="74"/>
    <m/>
    <x v="0"/>
    <x v="74"/>
    <m/>
    <m/>
    <s v="Sim, D1, P2"/>
    <s v="Externa à DIGID"/>
    <m/>
    <s v="Gestão de RH – Atividades e Processos"/>
    <s v="Produto"/>
    <n v="2"/>
    <s v="Mapear fonte"/>
    <m/>
    <s v="1 - Mapear fonte"/>
    <m/>
    <m/>
    <x v="1"/>
    <x v="0"/>
    <x v="0"/>
    <x v="1"/>
    <x v="0"/>
    <x v="0"/>
    <m/>
    <m/>
    <m/>
    <m/>
    <m/>
    <m/>
    <m/>
    <m/>
  </r>
  <r>
    <n v="75"/>
    <m/>
    <x v="0"/>
    <x v="75"/>
    <m/>
    <m/>
    <s v="Sim, D3, P10"/>
    <s v="Vozes?"/>
    <s v="Vozes 1 - Quando tenho um bom desempenho, ganho reconhecimento e respeito de meus colegas."/>
    <s v="Gestão de RH – Resultados"/>
    <s v="Impacto"/>
    <n v="1"/>
    <s v="Pesquisa Vozes 1"/>
    <m/>
    <s v="1 - Mapear fonte"/>
    <m/>
    <m/>
    <x v="0"/>
    <x v="0"/>
    <x v="1"/>
    <x v="1"/>
    <x v="0"/>
    <x v="0"/>
    <m/>
    <m/>
    <m/>
    <m/>
    <m/>
    <m/>
    <m/>
    <m/>
  </r>
  <r>
    <n v="76"/>
    <m/>
    <x v="0"/>
    <x v="76"/>
    <m/>
    <m/>
    <s v="Sim, D4, P11"/>
    <s v="Vozes?"/>
    <s v="Vozes 1 - Os produtos e/ou serviços entregues pela minha equipe são considerados satisfatórios pelas pessoas que o recebem; Minha equipe cumpre os prazos estabelecidos para a execução do trabalho; Minha equipe cumpre as metas estabelecidas;_x000a_Vozes 2 - Os produtos e/ou serviços entregues pela minha equipe são considerados satisfatórios pelas pessoas que os recebem;  Minha equipe cumpre os prazos estabelecidos para a execução do trabalho; _x000a_Minha equipe cumpre as metas estabelecidas;Minha equipe responde com agilidade a novas demandas de trabalho_x000a_"/>
    <s v="Gestão de RH – Resultados"/>
    <s v="Impacto"/>
    <n v="1"/>
    <s v="Pesquisa Vozes 1 e 2"/>
    <m/>
    <s v="5 - Dados disponíveis/obtidos"/>
    <m/>
    <m/>
    <x v="0"/>
    <x v="0"/>
    <x v="0"/>
    <x v="0"/>
    <x v="0"/>
    <x v="0"/>
    <m/>
    <m/>
    <m/>
    <m/>
    <m/>
    <m/>
    <m/>
    <m/>
  </r>
  <r>
    <n v="77"/>
    <m/>
    <x v="0"/>
    <x v="77"/>
    <m/>
    <m/>
    <s v="Sim, D4, P11"/>
    <s v="Vozes?"/>
    <s v="Vozes 1 - A organização na qual trabalho presta um bom serviço aos cidadãos ou clientes;_x000a_De forma geral, a organização na qual trabalho apresenta um desempenho muito bom;_x000a_A organização na qual trabalho realiza uma gestão adequada de recursos públicos;_x000a_Vozes 2 - A organização na qual trabalho presta um bom serviço aos cidadãos ou clientes;_x000a_De forma geral, a organização na qual trabalho apresenta um desempenho muito bom;_x000a_A organização na qual trabalho realiza uma gestão adequada de recursos públicos._x000a_"/>
    <s v="Gestão de RH – Resultados"/>
    <s v="Impacto"/>
    <n v="1"/>
    <s v="Pesquisa Vozes 1 e 2"/>
    <m/>
    <s v="5 - Dados disponíveis/obtidos"/>
    <m/>
    <m/>
    <x v="0"/>
    <x v="0"/>
    <x v="0"/>
    <x v="0"/>
    <x v="0"/>
    <x v="0"/>
    <m/>
    <m/>
    <m/>
    <m/>
    <m/>
    <m/>
    <m/>
    <m/>
  </r>
  <r>
    <n v="78"/>
    <m/>
    <x v="0"/>
    <x v="78"/>
    <m/>
    <m/>
    <s v="Sim, D5, P17"/>
    <s v="Vozes"/>
    <s v="Vozes 1 - Quero deixar de trabalhar no setor público;_x000a_Penso em trabalhar em outra organização pública;_x000a_Planejo atuar em outra equipe da organização na qual trabalho;_x000a__x000a_Vozes 2 - Quero deixar de trabalhar no setor público."/>
    <s v="Gestão de RH – Resultados"/>
    <s v="Impacto"/>
    <n v="1"/>
    <s v="Pesquisa Vozes 1 e 2"/>
    <m/>
    <s v="5 - Dados disponíveis/obtidos"/>
    <m/>
    <m/>
    <x v="0"/>
    <x v="0"/>
    <x v="0"/>
    <x v="1"/>
    <x v="1"/>
    <x v="0"/>
    <m/>
    <m/>
    <m/>
    <m/>
    <m/>
    <m/>
    <m/>
    <m/>
  </r>
  <r>
    <n v="79"/>
    <m/>
    <x v="0"/>
    <x v="79"/>
    <m/>
    <m/>
    <s v="Sim, D5, P17"/>
    <s v="Vozes?"/>
    <m/>
    <s v="Gestão de RH – Resultados"/>
    <s v="Impacto"/>
    <n v="3"/>
    <s v="Mapear fonte"/>
    <m/>
    <s v="1 - Mapear fonte"/>
    <m/>
    <m/>
    <x v="0"/>
    <x v="0"/>
    <x v="0"/>
    <x v="1"/>
    <x v="1"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0A507-9CE1-4CA9-A919-ACCB54F4620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8:C79" firstHeaderRow="1" firstDataRow="1" firstDataCol="2" rowPageCount="6" colPageCount="1"/>
  <pivotFields count="31">
    <pivotField dataField="1" compact="0" outline="0" showAll="0"/>
    <pivotField compact="0" outline="0" showAll="0"/>
    <pivotField axis="axisRow" compact="0" outline="0" showAll="0">
      <items count="16">
        <item sd="0" x="7"/>
        <item sd="0" x="8"/>
        <item sd="0" x="12"/>
        <item sd="0" x="2"/>
        <item sd="0" x="10"/>
        <item sd="0" x="11"/>
        <item sd="0" x="14"/>
        <item sd="0" x="3"/>
        <item sd="0" x="13"/>
        <item sd="0" x="1"/>
        <item sd="0" x="6"/>
        <item sd="0" x="4"/>
        <item sd="0" x="5"/>
        <item sd="0" x="9"/>
        <item x="0"/>
        <item t="default"/>
      </items>
    </pivotField>
    <pivotField axis="axisRow" compact="0" outline="0" showAll="0">
      <items count="81">
        <item x="17"/>
        <item x="13"/>
        <item x="6"/>
        <item x="5"/>
        <item x="4"/>
        <item x="59"/>
        <item x="71"/>
        <item x="67"/>
        <item x="68"/>
        <item x="73"/>
        <item x="75"/>
        <item x="26"/>
        <item x="8"/>
        <item x="61"/>
        <item x="78"/>
        <item x="18"/>
        <item x="27"/>
        <item x="57"/>
        <item x="63"/>
        <item x="3"/>
        <item x="16"/>
        <item x="23"/>
        <item x="22"/>
        <item x="24"/>
        <item x="25"/>
        <item x="20"/>
        <item x="21"/>
        <item x="19"/>
        <item x="46"/>
        <item x="44"/>
        <item x="1"/>
        <item x="0"/>
        <item x="45"/>
        <item x="60"/>
        <item x="74"/>
        <item x="40"/>
        <item x="47"/>
        <item x="50"/>
        <item x="58"/>
        <item x="51"/>
        <item x="62"/>
        <item x="39"/>
        <item x="52"/>
        <item x="15"/>
        <item x="48"/>
        <item x="56"/>
        <item x="54"/>
        <item x="42"/>
        <item x="66"/>
        <item x="41"/>
        <item x="49"/>
        <item x="33"/>
        <item x="55"/>
        <item x="32"/>
        <item x="38"/>
        <item x="14"/>
        <item x="7"/>
        <item x="34"/>
        <item x="12"/>
        <item x="53"/>
        <item x="31"/>
        <item x="35"/>
        <item x="69"/>
        <item x="76"/>
        <item x="77"/>
        <item x="72"/>
        <item x="79"/>
        <item x="2"/>
        <item x="11"/>
        <item x="29"/>
        <item x="28"/>
        <item x="30"/>
        <item x="36"/>
        <item x="65"/>
        <item x="43"/>
        <item x="37"/>
        <item x="10"/>
        <item x="9"/>
        <item x="70"/>
        <item x="6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multipleItemSelectionAllowed="1" showAll="0">
      <items count="4">
        <item x="0"/>
        <item x="2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axis="axisPage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3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4"/>
    </i>
    <i r="1">
      <x v="43"/>
    </i>
    <i r="1">
      <x v="48"/>
    </i>
    <i r="1">
      <x v="51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5"/>
    </i>
    <i r="1">
      <x v="76"/>
    </i>
    <i r="1">
      <x v="77"/>
    </i>
    <i r="1">
      <x v="78"/>
    </i>
    <i t="default">
      <x v="14"/>
    </i>
    <i t="grand">
      <x/>
    </i>
  </rowItems>
  <colItems count="1">
    <i/>
  </colItems>
  <pageFields count="6">
    <pageField fld="17" hier="-1"/>
    <pageField fld="18" hier="-1"/>
    <pageField fld="19" hier="-1"/>
    <pageField fld="20" hier="-1"/>
    <pageField fld="21" hier="-1"/>
    <pageField fld="22" hier="-1"/>
  </pageFields>
  <dataFields count="1">
    <dataField name="Contagem de id_indicad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hyperlink" Target="https://github.com/mar-celo/Indice_de_Gini" TargetMode="External"/><Relationship Id="rId1" Type="http://schemas.openxmlformats.org/officeDocument/2006/relationships/hyperlink" Target="https://wesleysilva88.github.io/teste_consolida_indexe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1273-48A9-4A2C-B8BC-89F8F1D1C460}">
  <dimension ref="A1:AE153"/>
  <sheetViews>
    <sheetView tabSelected="1" zoomScale="70" zoomScaleNormal="70" workbookViewId="0">
      <pane xSplit="4" ySplit="1" topLeftCell="O2" activePane="bottomRight" state="frozen"/>
      <selection pane="topRight"/>
      <selection pane="bottomLeft"/>
      <selection pane="bottomRight" activeCell="A2" sqref="A2:XFD2"/>
    </sheetView>
  </sheetViews>
  <sheetFormatPr defaultColWidth="16.7109375" defaultRowHeight="15"/>
  <cols>
    <col min="1" max="1" width="16.7109375" style="13"/>
    <col min="2" max="3" width="16.7109375" style="36"/>
    <col min="4" max="4" width="41" style="13" customWidth="1"/>
    <col min="5" max="8" width="16.7109375" style="13"/>
    <col min="10" max="11" width="16.7109375" style="25"/>
    <col min="12" max="12" width="16.7109375" style="37"/>
    <col min="13" max="13" width="16.7109375" style="13"/>
    <col min="14" max="14" width="24.85546875" style="13" customWidth="1"/>
    <col min="15" max="15" width="25.42578125" customWidth="1"/>
    <col min="24" max="25" width="16.7109375" style="13"/>
    <col min="28" max="28" width="16.7109375" style="25"/>
  </cols>
  <sheetData>
    <row r="1" spans="1:31" ht="45.75" thickBot="1">
      <c r="A1" s="14" t="s">
        <v>0</v>
      </c>
      <c r="B1" s="14" t="s">
        <v>479</v>
      </c>
      <c r="C1" s="60" t="s">
        <v>480</v>
      </c>
      <c r="D1" s="14" t="s">
        <v>481</v>
      </c>
      <c r="E1" s="14" t="s">
        <v>482</v>
      </c>
      <c r="F1" s="61" t="s">
        <v>483</v>
      </c>
      <c r="G1" s="61" t="s">
        <v>484</v>
      </c>
      <c r="H1" s="61" t="s">
        <v>485</v>
      </c>
      <c r="I1" s="14" t="s">
        <v>486</v>
      </c>
      <c r="J1" s="60" t="s">
        <v>487</v>
      </c>
      <c r="K1" s="60" t="s">
        <v>488</v>
      </c>
      <c r="L1" s="14" t="s">
        <v>489</v>
      </c>
      <c r="M1" s="62" t="s">
        <v>490</v>
      </c>
      <c r="N1" s="13" t="s">
        <v>491</v>
      </c>
      <c r="O1" s="14" t="s">
        <v>492</v>
      </c>
      <c r="P1" t="s">
        <v>507</v>
      </c>
      <c r="Q1" s="14" t="s">
        <v>493</v>
      </c>
      <c r="R1" s="14" t="s">
        <v>494</v>
      </c>
      <c r="S1" s="14" t="s">
        <v>495</v>
      </c>
      <c r="T1" s="14" t="s">
        <v>496</v>
      </c>
      <c r="U1" s="14" t="s">
        <v>497</v>
      </c>
      <c r="V1" s="14" t="s">
        <v>498</v>
      </c>
      <c r="W1" s="14" t="s">
        <v>499</v>
      </c>
      <c r="X1" s="26" t="s">
        <v>500</v>
      </c>
      <c r="Y1" s="38" t="s">
        <v>501</v>
      </c>
      <c r="Z1" s="14" t="s">
        <v>502</v>
      </c>
      <c r="AA1" s="14" t="s">
        <v>503</v>
      </c>
      <c r="AB1" s="60" t="s">
        <v>504</v>
      </c>
      <c r="AC1" t="s">
        <v>505</v>
      </c>
      <c r="AD1" t="s">
        <v>506</v>
      </c>
      <c r="AE1" s="14" t="s">
        <v>15</v>
      </c>
    </row>
    <row r="2" spans="1:31" ht="60">
      <c r="A2" s="16">
        <v>13</v>
      </c>
      <c r="B2" s="22"/>
      <c r="C2" s="22"/>
      <c r="D2" s="16" t="s">
        <v>16</v>
      </c>
      <c r="E2" s="16"/>
      <c r="F2" s="29" t="s">
        <v>17</v>
      </c>
      <c r="G2" s="29" t="s">
        <v>18</v>
      </c>
      <c r="H2" s="29" t="s">
        <v>19</v>
      </c>
      <c r="I2" s="16"/>
      <c r="J2" s="22" t="s">
        <v>20</v>
      </c>
      <c r="K2" s="22" t="s">
        <v>21</v>
      </c>
      <c r="L2" s="20">
        <v>4</v>
      </c>
      <c r="M2" s="16" t="s">
        <v>22</v>
      </c>
      <c r="N2" s="13" t="s">
        <v>23</v>
      </c>
      <c r="O2" s="19" t="s">
        <v>24</v>
      </c>
      <c r="P2" s="19"/>
      <c r="Q2" s="17"/>
      <c r="R2" s="16"/>
      <c r="S2" s="16"/>
      <c r="T2" s="16"/>
      <c r="U2" s="16">
        <v>1</v>
      </c>
      <c r="V2" s="16"/>
      <c r="W2" s="16"/>
      <c r="Z2" s="16"/>
      <c r="AA2" s="16"/>
      <c r="AB2" s="27"/>
      <c r="AE2" s="19"/>
    </row>
    <row r="3" spans="1:31" ht="60">
      <c r="A3" s="16">
        <v>14</v>
      </c>
      <c r="B3" s="22"/>
      <c r="C3" s="22"/>
      <c r="D3" s="16" t="s">
        <v>25</v>
      </c>
      <c r="E3" s="16"/>
      <c r="F3" s="29" t="s">
        <v>17</v>
      </c>
      <c r="G3" s="29" t="s">
        <v>18</v>
      </c>
      <c r="H3" s="29" t="s">
        <v>19</v>
      </c>
      <c r="I3" s="16"/>
      <c r="J3" s="22" t="s">
        <v>20</v>
      </c>
      <c r="K3" s="22" t="s">
        <v>21</v>
      </c>
      <c r="L3" s="20">
        <v>4</v>
      </c>
      <c r="M3" s="16" t="s">
        <v>22</v>
      </c>
      <c r="N3" s="13" t="s">
        <v>23</v>
      </c>
      <c r="O3" s="19" t="s">
        <v>24</v>
      </c>
      <c r="P3" s="19"/>
      <c r="Q3" s="17"/>
      <c r="R3" s="16"/>
      <c r="S3" s="16"/>
      <c r="T3" s="16"/>
      <c r="U3" s="16">
        <v>1</v>
      </c>
      <c r="V3" s="16"/>
      <c r="W3" s="16"/>
      <c r="Z3" s="16"/>
      <c r="AA3" s="16"/>
      <c r="AB3" s="27"/>
      <c r="AE3" s="19"/>
    </row>
    <row r="4" spans="1:31" ht="330">
      <c r="A4" s="16">
        <v>26</v>
      </c>
      <c r="B4" s="22" t="s">
        <v>26</v>
      </c>
      <c r="C4" s="22" t="s">
        <v>27</v>
      </c>
      <c r="D4" s="16" t="s">
        <v>28</v>
      </c>
      <c r="E4" s="16" t="s">
        <v>29</v>
      </c>
      <c r="F4" s="29" t="s">
        <v>17</v>
      </c>
      <c r="G4" s="29" t="s">
        <v>30</v>
      </c>
      <c r="H4" s="29" t="s">
        <v>31</v>
      </c>
      <c r="I4" s="56" t="s">
        <v>32</v>
      </c>
      <c r="J4" s="22" t="s">
        <v>33</v>
      </c>
      <c r="K4" s="22" t="s">
        <v>34</v>
      </c>
      <c r="L4" s="20">
        <v>1</v>
      </c>
      <c r="M4" s="16" t="s">
        <v>35</v>
      </c>
      <c r="O4" s="19" t="s">
        <v>36</v>
      </c>
      <c r="P4" s="19"/>
      <c r="Q4" s="16"/>
      <c r="R4" s="16"/>
      <c r="S4" s="16">
        <v>1</v>
      </c>
      <c r="T4" s="16"/>
      <c r="U4" s="16"/>
      <c r="V4" s="16">
        <v>1</v>
      </c>
      <c r="W4" s="16"/>
      <c r="Z4" s="16"/>
      <c r="AA4" s="16"/>
      <c r="AB4" s="27"/>
      <c r="AE4" s="18"/>
    </row>
    <row r="5" spans="1:31" s="70" customFormat="1" ht="45">
      <c r="A5" s="16">
        <v>30</v>
      </c>
      <c r="B5" s="22"/>
      <c r="C5" s="22"/>
      <c r="D5" s="16" t="s">
        <v>37</v>
      </c>
      <c r="E5" s="16"/>
      <c r="F5" s="31" t="s">
        <v>17</v>
      </c>
      <c r="G5" s="31" t="s">
        <v>38</v>
      </c>
      <c r="H5" s="29" t="s">
        <v>19</v>
      </c>
      <c r="I5" s="19"/>
      <c r="J5" s="22" t="s">
        <v>20</v>
      </c>
      <c r="K5" s="22" t="s">
        <v>21</v>
      </c>
      <c r="L5" s="33">
        <v>4</v>
      </c>
      <c r="M5" s="16" t="s">
        <v>39</v>
      </c>
      <c r="N5" s="13"/>
      <c r="O5" s="19" t="s">
        <v>40</v>
      </c>
      <c r="P5" s="19"/>
      <c r="Q5" s="19"/>
      <c r="R5" s="39">
        <v>1</v>
      </c>
      <c r="S5" s="39"/>
      <c r="T5" s="39"/>
      <c r="U5" s="39"/>
      <c r="V5" s="39"/>
      <c r="W5" s="39"/>
      <c r="X5" s="13"/>
      <c r="Y5" s="13"/>
      <c r="Z5" s="19"/>
      <c r="AA5" s="19"/>
      <c r="AB5" s="22"/>
      <c r="AC5"/>
      <c r="AD5"/>
      <c r="AE5" s="19"/>
    </row>
    <row r="6" spans="1:31" ht="60">
      <c r="A6" s="16">
        <v>31</v>
      </c>
      <c r="B6" s="22"/>
      <c r="C6" s="22"/>
      <c r="D6" s="16" t="s">
        <v>41</v>
      </c>
      <c r="E6" s="16" t="s">
        <v>42</v>
      </c>
      <c r="F6" s="31" t="s">
        <v>17</v>
      </c>
      <c r="G6" s="31" t="s">
        <v>43</v>
      </c>
      <c r="H6" s="31" t="s">
        <v>44</v>
      </c>
      <c r="I6" s="19"/>
      <c r="J6" s="22" t="s">
        <v>33</v>
      </c>
      <c r="K6" s="22" t="s">
        <v>34</v>
      </c>
      <c r="L6" s="33">
        <v>1</v>
      </c>
      <c r="M6" s="16" t="s">
        <v>45</v>
      </c>
      <c r="N6" s="13" t="s">
        <v>46</v>
      </c>
      <c r="O6" s="19" t="s">
        <v>36</v>
      </c>
      <c r="P6" s="19" t="s">
        <v>47</v>
      </c>
      <c r="Q6" s="19"/>
      <c r="R6" s="39">
        <v>1</v>
      </c>
      <c r="S6" s="39"/>
      <c r="T6" s="39"/>
      <c r="U6" s="39"/>
      <c r="V6" s="39"/>
      <c r="W6" s="39"/>
      <c r="Z6" s="19"/>
      <c r="AA6" s="19"/>
      <c r="AB6" s="22"/>
      <c r="AE6" s="18"/>
    </row>
    <row r="7" spans="1:31" ht="45">
      <c r="A7" s="16">
        <v>32</v>
      </c>
      <c r="B7" s="22"/>
      <c r="C7" s="22"/>
      <c r="D7" s="75" t="s">
        <v>48</v>
      </c>
      <c r="E7" s="16" t="s">
        <v>49</v>
      </c>
      <c r="F7" s="31" t="s">
        <v>17</v>
      </c>
      <c r="G7" s="31" t="s">
        <v>50</v>
      </c>
      <c r="H7" s="29" t="s">
        <v>19</v>
      </c>
      <c r="I7" s="19"/>
      <c r="J7" s="22" t="s">
        <v>20</v>
      </c>
      <c r="K7" s="22" t="s">
        <v>51</v>
      </c>
      <c r="L7" s="33">
        <v>5</v>
      </c>
      <c r="M7" s="16" t="s">
        <v>39</v>
      </c>
      <c r="N7" s="13" t="s">
        <v>52</v>
      </c>
      <c r="O7" s="19" t="s">
        <v>40</v>
      </c>
      <c r="P7" s="19"/>
      <c r="Q7" s="19"/>
      <c r="R7" s="39">
        <v>1</v>
      </c>
      <c r="S7" s="39"/>
      <c r="T7" s="39"/>
      <c r="U7" s="39"/>
      <c r="V7" s="39"/>
      <c r="W7" s="39"/>
      <c r="Z7" s="19"/>
      <c r="AA7" s="19"/>
      <c r="AB7" s="22"/>
      <c r="AE7" s="19"/>
    </row>
    <row r="8" spans="1:31" ht="45">
      <c r="A8" s="16">
        <v>33</v>
      </c>
      <c r="B8" s="22"/>
      <c r="C8" s="22"/>
      <c r="D8" s="74" t="s">
        <v>53</v>
      </c>
      <c r="E8" s="16" t="s">
        <v>49</v>
      </c>
      <c r="F8" s="31" t="s">
        <v>17</v>
      </c>
      <c r="G8" s="31" t="s">
        <v>50</v>
      </c>
      <c r="H8" s="31" t="s">
        <v>54</v>
      </c>
      <c r="I8" s="80"/>
      <c r="J8" s="22" t="s">
        <v>20</v>
      </c>
      <c r="K8" s="22" t="s">
        <v>21</v>
      </c>
      <c r="L8" s="33">
        <v>1</v>
      </c>
      <c r="M8" s="16" t="s">
        <v>45</v>
      </c>
      <c r="O8" s="19" t="s">
        <v>55</v>
      </c>
      <c r="P8" s="19"/>
      <c r="Q8" s="19"/>
      <c r="R8" s="39">
        <v>1</v>
      </c>
      <c r="S8" s="39"/>
      <c r="T8" s="39"/>
      <c r="U8" s="39"/>
      <c r="V8" s="39"/>
      <c r="W8" s="39"/>
      <c r="Z8" s="19"/>
      <c r="AA8" s="19"/>
      <c r="AB8" s="22"/>
      <c r="AE8" s="17"/>
    </row>
    <row r="9" spans="1:31" ht="120">
      <c r="A9" s="16">
        <v>34</v>
      </c>
      <c r="B9" s="22"/>
      <c r="C9" s="22"/>
      <c r="D9" s="16" t="s">
        <v>56</v>
      </c>
      <c r="E9" s="16"/>
      <c r="F9" s="31" t="s">
        <v>17</v>
      </c>
      <c r="G9" s="29" t="s">
        <v>57</v>
      </c>
      <c r="H9" s="29" t="s">
        <v>54</v>
      </c>
      <c r="I9" s="19"/>
      <c r="J9" s="22" t="s">
        <v>20</v>
      </c>
      <c r="K9" s="22" t="s">
        <v>21</v>
      </c>
      <c r="L9" s="33">
        <v>3</v>
      </c>
      <c r="M9" s="16" t="s">
        <v>45</v>
      </c>
      <c r="N9" s="13" t="s">
        <v>58</v>
      </c>
      <c r="O9" s="19" t="s">
        <v>55</v>
      </c>
      <c r="P9" s="19"/>
      <c r="Q9" s="19"/>
      <c r="R9" s="39">
        <v>1</v>
      </c>
      <c r="S9" s="39"/>
      <c r="T9" s="39"/>
      <c r="U9" s="39"/>
      <c r="V9" s="39"/>
      <c r="W9" s="39"/>
      <c r="Z9" s="19"/>
      <c r="AA9" s="19"/>
      <c r="AB9" s="22"/>
      <c r="AE9" s="19"/>
    </row>
    <row r="10" spans="1:31" ht="120">
      <c r="A10" s="16">
        <v>35</v>
      </c>
      <c r="B10" s="22"/>
      <c r="C10" s="22"/>
      <c r="D10" s="16" t="s">
        <v>59</v>
      </c>
      <c r="E10" s="16"/>
      <c r="F10" s="31" t="s">
        <v>17</v>
      </c>
      <c r="G10" s="31" t="s">
        <v>60</v>
      </c>
      <c r="H10" s="31" t="s">
        <v>54</v>
      </c>
      <c r="I10" s="19"/>
      <c r="J10" s="22" t="s">
        <v>61</v>
      </c>
      <c r="K10" s="22" t="s">
        <v>62</v>
      </c>
      <c r="L10" s="33">
        <v>3</v>
      </c>
      <c r="M10" s="16" t="s">
        <v>45</v>
      </c>
      <c r="N10" s="13" t="s">
        <v>58</v>
      </c>
      <c r="O10" s="19" t="s">
        <v>55</v>
      </c>
      <c r="P10" s="19"/>
      <c r="Q10" s="19"/>
      <c r="R10" s="19"/>
      <c r="S10" s="19"/>
      <c r="T10" s="19">
        <v>1</v>
      </c>
      <c r="U10" s="19"/>
      <c r="V10" s="19"/>
      <c r="W10" s="19"/>
      <c r="Z10" s="19"/>
      <c r="AA10" s="19"/>
      <c r="AB10" s="22"/>
      <c r="AE10" s="19"/>
    </row>
    <row r="11" spans="1:31" ht="30">
      <c r="A11" s="16">
        <v>36</v>
      </c>
      <c r="B11" s="22"/>
      <c r="C11" s="22"/>
      <c r="D11" s="16" t="s">
        <v>63</v>
      </c>
      <c r="E11" s="16"/>
      <c r="F11" s="31" t="s">
        <v>17</v>
      </c>
      <c r="G11" s="78" t="s">
        <v>64</v>
      </c>
      <c r="H11" s="31" t="s">
        <v>65</v>
      </c>
      <c r="I11" s="80"/>
      <c r="J11" s="22" t="s">
        <v>33</v>
      </c>
      <c r="K11" s="22" t="s">
        <v>62</v>
      </c>
      <c r="L11" s="33">
        <v>2</v>
      </c>
      <c r="M11" s="19" t="s">
        <v>45</v>
      </c>
      <c r="O11" s="19" t="s">
        <v>55</v>
      </c>
      <c r="P11" s="19"/>
      <c r="Q11" s="19"/>
      <c r="R11" s="19"/>
      <c r="S11" s="19"/>
      <c r="T11" s="19">
        <v>1</v>
      </c>
      <c r="U11" s="19"/>
      <c r="V11" s="19"/>
      <c r="W11" s="19"/>
      <c r="Z11" s="19"/>
      <c r="AA11" s="19"/>
      <c r="AB11" s="22"/>
      <c r="AE11" s="19"/>
    </row>
    <row r="12" spans="1:31" ht="30">
      <c r="A12" s="16">
        <v>37</v>
      </c>
      <c r="B12" s="22"/>
      <c r="C12" s="22"/>
      <c r="D12" s="16" t="s">
        <v>66</v>
      </c>
      <c r="E12" s="16"/>
      <c r="F12" s="31" t="s">
        <v>17</v>
      </c>
      <c r="G12" s="31" t="s">
        <v>67</v>
      </c>
      <c r="H12" s="31" t="s">
        <v>65</v>
      </c>
      <c r="I12" s="19"/>
      <c r="J12" s="22" t="s">
        <v>33</v>
      </c>
      <c r="K12" s="22" t="s">
        <v>34</v>
      </c>
      <c r="L12" s="33">
        <v>4</v>
      </c>
      <c r="M12" s="19" t="s">
        <v>65</v>
      </c>
      <c r="N12" s="13" t="s">
        <v>68</v>
      </c>
      <c r="O12" s="19" t="s">
        <v>40</v>
      </c>
      <c r="P12" s="19"/>
      <c r="Q12" s="19"/>
      <c r="R12" s="19"/>
      <c r="S12" s="19"/>
      <c r="T12" s="19">
        <v>1</v>
      </c>
      <c r="U12" s="19"/>
      <c r="V12" s="19"/>
      <c r="W12" s="19"/>
      <c r="Z12" s="19"/>
      <c r="AA12" s="19"/>
      <c r="AB12" s="22"/>
      <c r="AE12" s="19"/>
    </row>
    <row r="13" spans="1:31" ht="225">
      <c r="A13" s="16">
        <v>38</v>
      </c>
      <c r="B13" s="22"/>
      <c r="C13" s="22"/>
      <c r="D13" s="16" t="s">
        <v>69</v>
      </c>
      <c r="E13" s="16" t="s">
        <v>70</v>
      </c>
      <c r="F13" s="31" t="s">
        <v>17</v>
      </c>
      <c r="G13" s="31" t="s">
        <v>71</v>
      </c>
      <c r="H13" s="31" t="s">
        <v>31</v>
      </c>
      <c r="I13" s="58" t="s">
        <v>72</v>
      </c>
      <c r="J13" s="22" t="s">
        <v>61</v>
      </c>
      <c r="K13" s="22" t="s">
        <v>34</v>
      </c>
      <c r="L13" s="33">
        <v>1</v>
      </c>
      <c r="M13" s="19" t="s">
        <v>35</v>
      </c>
      <c r="O13" s="19" t="s">
        <v>36</v>
      </c>
      <c r="P13" s="19"/>
      <c r="Q13" s="16"/>
      <c r="R13" s="19"/>
      <c r="S13" s="19"/>
      <c r="T13" s="19">
        <v>1</v>
      </c>
      <c r="U13" s="19"/>
      <c r="V13" s="19"/>
      <c r="W13" s="19"/>
      <c r="Z13" s="19"/>
      <c r="AA13" s="19"/>
      <c r="AB13" s="22"/>
      <c r="AE13" s="16"/>
    </row>
    <row r="14" spans="1:31" ht="45">
      <c r="A14" s="16">
        <v>39</v>
      </c>
      <c r="B14" s="22"/>
      <c r="C14" s="22"/>
      <c r="D14" s="16" t="s">
        <v>73</v>
      </c>
      <c r="E14" s="16"/>
      <c r="F14" s="31" t="s">
        <v>17</v>
      </c>
      <c r="G14" s="31" t="s">
        <v>74</v>
      </c>
      <c r="H14" s="29" t="s">
        <v>19</v>
      </c>
      <c r="I14" s="19"/>
      <c r="J14" s="22" t="s">
        <v>20</v>
      </c>
      <c r="K14" s="22" t="s">
        <v>21</v>
      </c>
      <c r="L14" s="33">
        <v>5</v>
      </c>
      <c r="M14" s="16" t="s">
        <v>75</v>
      </c>
      <c r="N14" s="13" t="s">
        <v>76</v>
      </c>
      <c r="O14" s="16" t="s">
        <v>77</v>
      </c>
      <c r="P14" s="19"/>
      <c r="Q14" s="19"/>
      <c r="R14" s="19"/>
      <c r="S14" s="19"/>
      <c r="T14" s="19"/>
      <c r="U14" s="19">
        <v>1</v>
      </c>
      <c r="V14" s="19"/>
      <c r="W14" s="19"/>
      <c r="Z14" s="19"/>
      <c r="AA14" s="19"/>
      <c r="AB14" s="22"/>
      <c r="AE14" s="19"/>
    </row>
    <row r="15" spans="1:31" ht="45">
      <c r="A15" s="16">
        <v>40</v>
      </c>
      <c r="B15" s="22"/>
      <c r="C15" s="22"/>
      <c r="D15" s="16" t="s">
        <v>78</v>
      </c>
      <c r="E15" s="16"/>
      <c r="F15" s="31" t="s">
        <v>17</v>
      </c>
      <c r="G15" s="31" t="s">
        <v>79</v>
      </c>
      <c r="H15" s="31" t="s">
        <v>80</v>
      </c>
      <c r="I15" s="19"/>
      <c r="J15" s="22"/>
      <c r="K15" s="22" t="s">
        <v>21</v>
      </c>
      <c r="L15" s="33">
        <v>5</v>
      </c>
      <c r="M15" s="19"/>
      <c r="N15" s="13" t="s">
        <v>76</v>
      </c>
      <c r="O15" s="19" t="s">
        <v>81</v>
      </c>
      <c r="P15" s="19"/>
      <c r="Q15" s="19"/>
      <c r="R15" s="19"/>
      <c r="S15" s="19"/>
      <c r="T15" s="19"/>
      <c r="U15" s="19">
        <v>1</v>
      </c>
      <c r="V15" s="19"/>
      <c r="W15" s="19"/>
      <c r="Z15" s="19"/>
      <c r="AA15" s="19"/>
      <c r="AB15" s="22"/>
      <c r="AE15" s="19"/>
    </row>
    <row r="16" spans="1:31" ht="45">
      <c r="A16" s="16">
        <v>41</v>
      </c>
      <c r="B16" s="22"/>
      <c r="C16" s="22"/>
      <c r="D16" s="16" t="s">
        <v>82</v>
      </c>
      <c r="E16" s="16"/>
      <c r="F16" s="31" t="s">
        <v>17</v>
      </c>
      <c r="G16" s="79" t="s">
        <v>83</v>
      </c>
      <c r="H16" s="79" t="s">
        <v>19</v>
      </c>
      <c r="I16" s="80"/>
      <c r="J16" s="22" t="s">
        <v>20</v>
      </c>
      <c r="K16" s="22" t="s">
        <v>21</v>
      </c>
      <c r="L16" s="33">
        <v>5</v>
      </c>
      <c r="M16" s="16" t="s">
        <v>75</v>
      </c>
      <c r="N16" s="13" t="s">
        <v>76</v>
      </c>
      <c r="O16" s="16" t="s">
        <v>77</v>
      </c>
      <c r="P16" s="19"/>
      <c r="Q16" s="19"/>
      <c r="R16" s="19"/>
      <c r="S16" s="19"/>
      <c r="T16" s="19">
        <v>1</v>
      </c>
      <c r="U16" s="19">
        <v>1</v>
      </c>
      <c r="V16" s="19"/>
      <c r="W16" s="19"/>
      <c r="Z16" s="19"/>
      <c r="AA16" s="19"/>
      <c r="AB16" s="22"/>
      <c r="AE16" s="19"/>
    </row>
    <row r="17" spans="1:31" ht="45">
      <c r="A17" s="16">
        <v>42</v>
      </c>
      <c r="B17" s="22"/>
      <c r="C17" s="22"/>
      <c r="D17" s="16" t="s">
        <v>84</v>
      </c>
      <c r="E17" s="16"/>
      <c r="F17" s="31" t="s">
        <v>17</v>
      </c>
      <c r="G17" s="31" t="s">
        <v>85</v>
      </c>
      <c r="H17" s="29" t="s">
        <v>19</v>
      </c>
      <c r="I17" s="19"/>
      <c r="J17" s="22" t="s">
        <v>20</v>
      </c>
      <c r="K17" s="22" t="s">
        <v>86</v>
      </c>
      <c r="L17" s="33">
        <v>5</v>
      </c>
      <c r="M17" s="16" t="s">
        <v>75</v>
      </c>
      <c r="N17" s="13" t="s">
        <v>76</v>
      </c>
      <c r="O17" s="16" t="s">
        <v>77</v>
      </c>
      <c r="P17" s="19"/>
      <c r="Q17" s="19"/>
      <c r="R17" s="19"/>
      <c r="S17" s="19"/>
      <c r="T17" s="19"/>
      <c r="U17" s="19">
        <v>1</v>
      </c>
      <c r="V17" s="19"/>
      <c r="W17" s="19"/>
      <c r="Z17" s="19"/>
      <c r="AA17" s="19"/>
      <c r="AB17" s="22"/>
      <c r="AE17" s="19"/>
    </row>
    <row r="18" spans="1:31" ht="45">
      <c r="A18" s="16">
        <v>43</v>
      </c>
      <c r="B18" s="22"/>
      <c r="C18" s="22"/>
      <c r="D18" s="16" t="s">
        <v>87</v>
      </c>
      <c r="E18" s="16"/>
      <c r="F18" s="31" t="s">
        <v>17</v>
      </c>
      <c r="G18" s="31" t="s">
        <v>85</v>
      </c>
      <c r="H18" s="29" t="s">
        <v>19</v>
      </c>
      <c r="I18" s="19"/>
      <c r="J18" s="22" t="s">
        <v>20</v>
      </c>
      <c r="K18" s="22" t="s">
        <v>21</v>
      </c>
      <c r="L18" s="33">
        <v>5</v>
      </c>
      <c r="M18" s="16" t="s">
        <v>75</v>
      </c>
      <c r="N18" s="13" t="s">
        <v>76</v>
      </c>
      <c r="O18" s="16" t="s">
        <v>77</v>
      </c>
      <c r="P18" s="19"/>
      <c r="Q18" s="19"/>
      <c r="R18" s="19"/>
      <c r="S18" s="19"/>
      <c r="T18" s="19"/>
      <c r="U18" s="19">
        <v>1</v>
      </c>
      <c r="V18" s="19"/>
      <c r="W18" s="19"/>
      <c r="Z18" s="19"/>
      <c r="AA18" s="19"/>
      <c r="AB18" s="22"/>
      <c r="AE18" s="19"/>
    </row>
    <row r="19" spans="1:31" ht="45">
      <c r="A19" s="16">
        <v>44</v>
      </c>
      <c r="B19" s="22"/>
      <c r="C19" s="22"/>
      <c r="D19" s="16" t="s">
        <v>88</v>
      </c>
      <c r="E19" s="16"/>
      <c r="F19" s="31" t="s">
        <v>17</v>
      </c>
      <c r="G19" s="31" t="s">
        <v>79</v>
      </c>
      <c r="H19" s="29" t="s">
        <v>89</v>
      </c>
      <c r="I19" s="19"/>
      <c r="J19" s="22"/>
      <c r="K19" s="22" t="s">
        <v>21</v>
      </c>
      <c r="L19" s="33">
        <v>5</v>
      </c>
      <c r="M19" s="19"/>
      <c r="N19" s="13" t="s">
        <v>76</v>
      </c>
      <c r="O19" s="19" t="s">
        <v>81</v>
      </c>
      <c r="P19" s="19"/>
      <c r="Q19" s="19"/>
      <c r="R19" s="19"/>
      <c r="S19" s="19"/>
      <c r="T19" s="19">
        <v>1</v>
      </c>
      <c r="U19" s="19">
        <v>1</v>
      </c>
      <c r="V19" s="19"/>
      <c r="W19" s="19"/>
      <c r="Z19" s="19"/>
      <c r="AA19" s="19"/>
      <c r="AB19" s="22"/>
      <c r="AE19" s="19"/>
    </row>
    <row r="20" spans="1:31" ht="45">
      <c r="A20" s="16">
        <v>45</v>
      </c>
      <c r="B20" s="22"/>
      <c r="C20" s="22"/>
      <c r="D20" s="16" t="s">
        <v>90</v>
      </c>
      <c r="E20" s="16" t="s">
        <v>91</v>
      </c>
      <c r="F20" s="31" t="s">
        <v>17</v>
      </c>
      <c r="G20" s="31" t="s">
        <v>92</v>
      </c>
      <c r="H20" s="29" t="s">
        <v>19</v>
      </c>
      <c r="I20" s="19"/>
      <c r="J20" s="22" t="s">
        <v>20</v>
      </c>
      <c r="K20" s="22" t="s">
        <v>21</v>
      </c>
      <c r="L20" s="33">
        <v>5</v>
      </c>
      <c r="M20" s="16" t="s">
        <v>22</v>
      </c>
      <c r="N20" s="13" t="s">
        <v>76</v>
      </c>
      <c r="O20" s="16" t="s">
        <v>93</v>
      </c>
      <c r="P20" s="19"/>
      <c r="Q20" s="19"/>
      <c r="R20" s="19"/>
      <c r="S20" s="19"/>
      <c r="T20" s="19"/>
      <c r="U20" s="19">
        <v>1</v>
      </c>
      <c r="V20" s="19"/>
      <c r="W20" s="19"/>
      <c r="Z20" s="19"/>
      <c r="AA20" s="19"/>
      <c r="AB20" s="22"/>
      <c r="AE20" s="19"/>
    </row>
    <row r="21" spans="1:31" ht="45">
      <c r="A21" s="16">
        <v>46</v>
      </c>
      <c r="B21" s="22"/>
      <c r="C21" s="22"/>
      <c r="D21" s="16" t="s">
        <v>94</v>
      </c>
      <c r="E21" s="16" t="s">
        <v>91</v>
      </c>
      <c r="F21" s="31" t="s">
        <v>17</v>
      </c>
      <c r="G21" s="31" t="s">
        <v>92</v>
      </c>
      <c r="H21" s="29" t="s">
        <v>19</v>
      </c>
      <c r="I21" s="19"/>
      <c r="J21" s="22" t="s">
        <v>20</v>
      </c>
      <c r="K21" s="22" t="s">
        <v>86</v>
      </c>
      <c r="L21" s="33">
        <v>5</v>
      </c>
      <c r="M21" s="16" t="s">
        <v>75</v>
      </c>
      <c r="N21" s="13" t="s">
        <v>76</v>
      </c>
      <c r="O21" s="16" t="s">
        <v>77</v>
      </c>
      <c r="P21" s="19"/>
      <c r="Q21" s="19"/>
      <c r="R21" s="19"/>
      <c r="S21" s="19"/>
      <c r="T21" s="19"/>
      <c r="U21" s="19">
        <v>1</v>
      </c>
      <c r="V21" s="19"/>
      <c r="W21" s="19"/>
      <c r="Z21" s="19"/>
      <c r="AA21" s="19"/>
      <c r="AB21" s="22"/>
      <c r="AE21" s="19"/>
    </row>
    <row r="22" spans="1:31" ht="45">
      <c r="A22" s="16">
        <v>47</v>
      </c>
      <c r="B22" s="22"/>
      <c r="C22" s="22"/>
      <c r="D22" s="16" t="s">
        <v>95</v>
      </c>
      <c r="E22" s="16" t="s">
        <v>91</v>
      </c>
      <c r="F22" s="31" t="s">
        <v>17</v>
      </c>
      <c r="G22" s="31" t="s">
        <v>92</v>
      </c>
      <c r="H22" s="29" t="s">
        <v>19</v>
      </c>
      <c r="I22" s="19"/>
      <c r="J22" s="22" t="s">
        <v>20</v>
      </c>
      <c r="K22" s="22" t="s">
        <v>86</v>
      </c>
      <c r="L22" s="33">
        <v>5</v>
      </c>
      <c r="M22" s="16" t="s">
        <v>75</v>
      </c>
      <c r="N22" s="13" t="s">
        <v>76</v>
      </c>
      <c r="O22" s="16" t="s">
        <v>77</v>
      </c>
      <c r="P22" s="19"/>
      <c r="Q22" s="59"/>
      <c r="R22" s="19"/>
      <c r="S22" s="19"/>
      <c r="T22" s="19"/>
      <c r="U22" s="19">
        <v>1</v>
      </c>
      <c r="V22" s="19"/>
      <c r="W22" s="19"/>
      <c r="Z22" s="19"/>
      <c r="AA22" s="19"/>
      <c r="AB22" s="22"/>
      <c r="AE22" s="19"/>
    </row>
    <row r="23" spans="1:31" ht="45">
      <c r="A23" s="16">
        <v>48</v>
      </c>
      <c r="B23" s="22"/>
      <c r="C23" s="22"/>
      <c r="D23" s="16" t="s">
        <v>96</v>
      </c>
      <c r="E23" s="16" t="s">
        <v>91</v>
      </c>
      <c r="F23" s="31" t="s">
        <v>17</v>
      </c>
      <c r="G23" s="31" t="s">
        <v>92</v>
      </c>
      <c r="H23" s="29" t="s">
        <v>19</v>
      </c>
      <c r="I23" s="19"/>
      <c r="J23" s="22" t="s">
        <v>20</v>
      </c>
      <c r="K23" s="22" t="s">
        <v>86</v>
      </c>
      <c r="L23" s="33">
        <v>5</v>
      </c>
      <c r="M23" s="16" t="s">
        <v>75</v>
      </c>
      <c r="N23" s="13" t="s">
        <v>76</v>
      </c>
      <c r="O23" s="16" t="s">
        <v>77</v>
      </c>
      <c r="P23" s="19"/>
      <c r="Q23" s="19"/>
      <c r="R23" s="19"/>
      <c r="S23" s="19"/>
      <c r="T23" s="19"/>
      <c r="U23" s="19">
        <v>1</v>
      </c>
      <c r="V23" s="19"/>
      <c r="W23" s="19"/>
      <c r="Z23" s="19"/>
      <c r="AA23" s="19"/>
      <c r="AB23" s="22"/>
      <c r="AE23" s="19"/>
    </row>
    <row r="24" spans="1:31" ht="45">
      <c r="A24" s="16">
        <v>49</v>
      </c>
      <c r="B24" s="22"/>
      <c r="C24" s="22"/>
      <c r="D24" s="16" t="s">
        <v>97</v>
      </c>
      <c r="E24" s="16" t="s">
        <v>91</v>
      </c>
      <c r="F24" s="31" t="s">
        <v>17</v>
      </c>
      <c r="G24" s="31" t="s">
        <v>92</v>
      </c>
      <c r="H24" s="29" t="s">
        <v>54</v>
      </c>
      <c r="I24" s="19"/>
      <c r="J24" s="22" t="s">
        <v>20</v>
      </c>
      <c r="K24" s="22" t="s">
        <v>62</v>
      </c>
      <c r="L24" s="33">
        <v>1</v>
      </c>
      <c r="M24" s="19" t="s">
        <v>45</v>
      </c>
      <c r="O24" s="19" t="s">
        <v>36</v>
      </c>
      <c r="P24" s="19"/>
      <c r="Q24" s="19"/>
      <c r="R24" s="19"/>
      <c r="S24" s="19"/>
      <c r="T24" s="19"/>
      <c r="U24" s="19">
        <v>1</v>
      </c>
      <c r="V24" s="19"/>
      <c r="W24" s="19"/>
      <c r="Z24" s="19"/>
      <c r="AA24" s="19"/>
      <c r="AB24" s="22"/>
      <c r="AE24" s="19"/>
    </row>
    <row r="25" spans="1:31" ht="45">
      <c r="A25" s="16">
        <v>50</v>
      </c>
      <c r="B25" s="22"/>
      <c r="C25" s="22"/>
      <c r="D25" s="16" t="s">
        <v>98</v>
      </c>
      <c r="E25" s="16" t="s">
        <v>91</v>
      </c>
      <c r="F25" s="31" t="s">
        <v>17</v>
      </c>
      <c r="G25" s="31" t="s">
        <v>92</v>
      </c>
      <c r="H25" s="29" t="s">
        <v>54</v>
      </c>
      <c r="I25" s="19"/>
      <c r="J25" s="22" t="s">
        <v>20</v>
      </c>
      <c r="K25" s="22" t="s">
        <v>62</v>
      </c>
      <c r="L25" s="33">
        <v>1</v>
      </c>
      <c r="M25" s="19" t="s">
        <v>45</v>
      </c>
      <c r="O25" s="19" t="s">
        <v>36</v>
      </c>
      <c r="P25" s="19" t="s">
        <v>47</v>
      </c>
      <c r="Q25" s="19"/>
      <c r="R25" s="19"/>
      <c r="S25" s="19"/>
      <c r="T25" s="19"/>
      <c r="U25" s="19">
        <v>1</v>
      </c>
      <c r="V25" s="19"/>
      <c r="W25" s="19"/>
      <c r="Z25" s="19"/>
      <c r="AA25" s="19"/>
      <c r="AB25" s="22"/>
      <c r="AE25" s="16"/>
    </row>
    <row r="26" spans="1:31" ht="45">
      <c r="A26" s="16">
        <v>51</v>
      </c>
      <c r="B26" s="22"/>
      <c r="C26" s="22"/>
      <c r="D26" s="16" t="s">
        <v>99</v>
      </c>
      <c r="E26" s="16" t="s">
        <v>91</v>
      </c>
      <c r="F26" s="31" t="s">
        <v>17</v>
      </c>
      <c r="G26" s="31" t="s">
        <v>92</v>
      </c>
      <c r="H26" s="29" t="s">
        <v>54</v>
      </c>
      <c r="I26" s="19"/>
      <c r="J26" s="22" t="s">
        <v>20</v>
      </c>
      <c r="K26" s="22" t="s">
        <v>62</v>
      </c>
      <c r="L26" s="33">
        <v>1</v>
      </c>
      <c r="M26" s="19" t="s">
        <v>45</v>
      </c>
      <c r="O26" s="19" t="s">
        <v>36</v>
      </c>
      <c r="P26" s="19"/>
      <c r="Q26" s="19"/>
      <c r="R26" s="19"/>
      <c r="S26" s="19"/>
      <c r="T26" s="19"/>
      <c r="U26" s="19">
        <v>1</v>
      </c>
      <c r="V26" s="19"/>
      <c r="W26" s="19"/>
      <c r="Z26" s="19"/>
      <c r="AA26" s="19"/>
      <c r="AB26" s="22"/>
      <c r="AE26" s="16"/>
    </row>
    <row r="27" spans="1:31" ht="45">
      <c r="A27" s="16">
        <v>52</v>
      </c>
      <c r="B27" s="22"/>
      <c r="C27" s="22"/>
      <c r="D27" s="16" t="s">
        <v>100</v>
      </c>
      <c r="E27" s="16" t="s">
        <v>91</v>
      </c>
      <c r="F27" s="31" t="s">
        <v>17</v>
      </c>
      <c r="G27" s="31" t="s">
        <v>92</v>
      </c>
      <c r="H27" s="29" t="s">
        <v>54</v>
      </c>
      <c r="I27" s="19"/>
      <c r="J27" s="22" t="s">
        <v>20</v>
      </c>
      <c r="K27" s="22" t="s">
        <v>34</v>
      </c>
      <c r="L27" s="33">
        <v>1</v>
      </c>
      <c r="M27" s="19" t="s">
        <v>45</v>
      </c>
      <c r="O27" s="19" t="s">
        <v>36</v>
      </c>
      <c r="P27" s="19"/>
      <c r="Q27" s="19"/>
      <c r="R27" s="19"/>
      <c r="S27" s="19"/>
      <c r="T27" s="19"/>
      <c r="U27" s="19">
        <v>1</v>
      </c>
      <c r="V27" s="19"/>
      <c r="W27" s="19"/>
      <c r="Z27" s="19"/>
      <c r="AA27" s="19"/>
      <c r="AB27" s="22"/>
      <c r="AE27" s="16"/>
    </row>
    <row r="28" spans="1:31" ht="45">
      <c r="A28" s="16">
        <v>53</v>
      </c>
      <c r="B28" s="22"/>
      <c r="C28" s="22"/>
      <c r="D28" s="16" t="s">
        <v>101</v>
      </c>
      <c r="E28" s="16" t="s">
        <v>91</v>
      </c>
      <c r="F28" s="31" t="s">
        <v>17</v>
      </c>
      <c r="G28" s="31" t="s">
        <v>92</v>
      </c>
      <c r="H28" s="31" t="s">
        <v>54</v>
      </c>
      <c r="I28" s="19"/>
      <c r="J28" s="22" t="s">
        <v>20</v>
      </c>
      <c r="K28" s="22" t="s">
        <v>34</v>
      </c>
      <c r="L28" s="33">
        <v>1</v>
      </c>
      <c r="M28" s="19" t="s">
        <v>45</v>
      </c>
      <c r="O28" s="19" t="s">
        <v>55</v>
      </c>
      <c r="P28" s="19"/>
      <c r="Q28" s="19"/>
      <c r="R28" s="19"/>
      <c r="S28" s="19"/>
      <c r="T28" s="19"/>
      <c r="U28" s="19">
        <v>1</v>
      </c>
      <c r="V28" s="19"/>
      <c r="W28" s="19"/>
      <c r="Z28" s="19"/>
      <c r="AA28" s="19"/>
      <c r="AB28" s="22"/>
      <c r="AE28" s="16"/>
    </row>
    <row r="29" spans="1:31" ht="120">
      <c r="A29" s="16">
        <v>54</v>
      </c>
      <c r="B29" s="22"/>
      <c r="C29" s="22"/>
      <c r="D29" s="16" t="s">
        <v>102</v>
      </c>
      <c r="E29" s="16" t="s">
        <v>103</v>
      </c>
      <c r="F29" s="31" t="s">
        <v>17</v>
      </c>
      <c r="G29" s="31" t="s">
        <v>85</v>
      </c>
      <c r="H29" s="31" t="s">
        <v>31</v>
      </c>
      <c r="I29" s="58" t="s">
        <v>104</v>
      </c>
      <c r="J29" s="22" t="s">
        <v>20</v>
      </c>
      <c r="K29" s="22" t="s">
        <v>34</v>
      </c>
      <c r="L29" s="33">
        <v>1</v>
      </c>
      <c r="M29" s="19" t="s">
        <v>105</v>
      </c>
      <c r="O29" s="19" t="s">
        <v>36</v>
      </c>
      <c r="P29" s="19"/>
      <c r="Q29" s="19"/>
      <c r="R29" s="19"/>
      <c r="S29" s="19"/>
      <c r="T29" s="19"/>
      <c r="U29" s="19">
        <v>1</v>
      </c>
      <c r="V29" s="19"/>
      <c r="W29" s="19"/>
      <c r="Z29" s="19"/>
      <c r="AA29" s="19"/>
      <c r="AB29" s="22"/>
      <c r="AE29" s="17"/>
    </row>
    <row r="30" spans="1:31" ht="240">
      <c r="A30" s="16">
        <v>55</v>
      </c>
      <c r="B30" s="22"/>
      <c r="C30" s="22"/>
      <c r="D30" s="16" t="s">
        <v>106</v>
      </c>
      <c r="E30" s="16" t="s">
        <v>91</v>
      </c>
      <c r="F30" s="31" t="s">
        <v>17</v>
      </c>
      <c r="G30" s="31" t="s">
        <v>79</v>
      </c>
      <c r="H30" s="31" t="s">
        <v>107</v>
      </c>
      <c r="I30" s="16" t="s">
        <v>108</v>
      </c>
      <c r="J30" s="22"/>
      <c r="K30" s="22" t="s">
        <v>34</v>
      </c>
      <c r="L30" s="33">
        <v>1</v>
      </c>
      <c r="M30" s="19" t="s">
        <v>109</v>
      </c>
      <c r="O30" s="16" t="s">
        <v>110</v>
      </c>
      <c r="P30" s="16"/>
      <c r="Q30" s="19"/>
      <c r="R30" s="19"/>
      <c r="S30" s="19"/>
      <c r="T30" s="19"/>
      <c r="U30" s="19">
        <v>1</v>
      </c>
      <c r="V30" s="19"/>
      <c r="W30" s="19"/>
      <c r="Z30" s="19"/>
      <c r="AA30" s="19"/>
      <c r="AB30" s="22"/>
      <c r="AE30" s="16"/>
    </row>
    <row r="31" spans="1:31" ht="409.5">
      <c r="A31" s="16">
        <v>56</v>
      </c>
      <c r="B31" s="22"/>
      <c r="C31" s="22"/>
      <c r="D31" s="16" t="s">
        <v>111</v>
      </c>
      <c r="E31" s="16" t="s">
        <v>91</v>
      </c>
      <c r="F31" s="31" t="s">
        <v>17</v>
      </c>
      <c r="G31" s="31" t="s">
        <v>79</v>
      </c>
      <c r="H31" s="31" t="s">
        <v>107</v>
      </c>
      <c r="I31" s="16" t="s">
        <v>112</v>
      </c>
      <c r="J31" s="22"/>
      <c r="K31" s="22" t="s">
        <v>34</v>
      </c>
      <c r="L31" s="33">
        <v>1</v>
      </c>
      <c r="M31" s="19" t="s">
        <v>109</v>
      </c>
      <c r="O31" s="16" t="s">
        <v>110</v>
      </c>
      <c r="P31" s="16"/>
      <c r="Q31" s="19"/>
      <c r="R31" s="19"/>
      <c r="S31" s="19"/>
      <c r="T31" s="19">
        <v>1</v>
      </c>
      <c r="U31" s="19">
        <v>1</v>
      </c>
      <c r="V31" s="19"/>
      <c r="W31" s="19"/>
      <c r="Z31" s="19"/>
      <c r="AA31" s="19"/>
      <c r="AB31" s="22"/>
      <c r="AE31" s="16"/>
    </row>
    <row r="32" spans="1:31" ht="409.5">
      <c r="A32" s="16">
        <v>57</v>
      </c>
      <c r="B32" s="22"/>
      <c r="C32" s="22"/>
      <c r="D32" s="16" t="s">
        <v>113</v>
      </c>
      <c r="E32" s="16" t="s">
        <v>91</v>
      </c>
      <c r="F32" s="31" t="s">
        <v>17</v>
      </c>
      <c r="G32" s="31" t="s">
        <v>79</v>
      </c>
      <c r="H32" s="31" t="s">
        <v>107</v>
      </c>
      <c r="I32" s="16" t="s">
        <v>114</v>
      </c>
      <c r="J32" s="22"/>
      <c r="K32" s="22" t="s">
        <v>34</v>
      </c>
      <c r="L32" s="33">
        <v>1</v>
      </c>
      <c r="M32" s="19" t="s">
        <v>115</v>
      </c>
      <c r="O32" s="16" t="s">
        <v>110</v>
      </c>
      <c r="P32" s="16"/>
      <c r="Q32" s="19"/>
      <c r="R32" s="19"/>
      <c r="S32" s="19"/>
      <c r="T32" s="19">
        <v>1</v>
      </c>
      <c r="U32" s="19">
        <v>1</v>
      </c>
      <c r="V32" s="19"/>
      <c r="W32" s="19"/>
      <c r="Z32" s="19"/>
      <c r="AA32" s="19"/>
      <c r="AB32" s="22"/>
      <c r="AE32" s="16"/>
    </row>
    <row r="33" spans="1:31" ht="45">
      <c r="A33" s="16">
        <v>58</v>
      </c>
      <c r="B33" s="22"/>
      <c r="C33" s="22"/>
      <c r="D33" s="16" t="s">
        <v>116</v>
      </c>
      <c r="E33" s="16" t="s">
        <v>117</v>
      </c>
      <c r="F33" s="31" t="s">
        <v>17</v>
      </c>
      <c r="G33" s="31" t="s">
        <v>118</v>
      </c>
      <c r="H33" s="31" t="s">
        <v>54</v>
      </c>
      <c r="I33" s="19"/>
      <c r="J33" s="22" t="s">
        <v>20</v>
      </c>
      <c r="K33" s="22" t="s">
        <v>62</v>
      </c>
      <c r="L33" s="33">
        <v>1</v>
      </c>
      <c r="M33" s="19" t="s">
        <v>45</v>
      </c>
      <c r="O33" s="19" t="s">
        <v>36</v>
      </c>
      <c r="P33" s="80"/>
      <c r="Q33" s="80"/>
      <c r="R33" s="80"/>
      <c r="S33" s="80">
        <v>1</v>
      </c>
      <c r="T33" s="80"/>
      <c r="U33" s="80"/>
      <c r="V33" s="80"/>
      <c r="W33" s="80"/>
      <c r="Z33" s="19"/>
      <c r="AA33" s="19"/>
      <c r="AB33" s="22"/>
      <c r="AE33" s="16"/>
    </row>
    <row r="34" spans="1:31" ht="45">
      <c r="A34" s="16">
        <v>59</v>
      </c>
      <c r="B34" s="22"/>
      <c r="C34" s="22"/>
      <c r="D34" s="16" t="s">
        <v>119</v>
      </c>
      <c r="E34" s="16" t="s">
        <v>117</v>
      </c>
      <c r="F34" s="31" t="s">
        <v>17</v>
      </c>
      <c r="G34" s="31" t="s">
        <v>118</v>
      </c>
      <c r="H34" s="31" t="s">
        <v>54</v>
      </c>
      <c r="I34" s="19"/>
      <c r="J34" s="22" t="s">
        <v>20</v>
      </c>
      <c r="K34" s="22" t="s">
        <v>62</v>
      </c>
      <c r="L34" s="33">
        <v>1</v>
      </c>
      <c r="M34" s="19" t="s">
        <v>45</v>
      </c>
      <c r="O34" s="19" t="s">
        <v>36</v>
      </c>
      <c r="P34" s="80"/>
      <c r="Q34" s="80"/>
      <c r="R34" s="80"/>
      <c r="S34" s="80">
        <v>1</v>
      </c>
      <c r="T34" s="80"/>
      <c r="U34" s="80"/>
      <c r="V34" s="80"/>
      <c r="W34" s="80"/>
      <c r="Z34" s="19"/>
      <c r="AA34" s="19"/>
      <c r="AB34" s="22"/>
      <c r="AE34" s="19"/>
    </row>
    <row r="35" spans="1:31" ht="45">
      <c r="A35" s="16">
        <v>60</v>
      </c>
      <c r="B35" s="22"/>
      <c r="C35" s="22"/>
      <c r="D35" s="16" t="s">
        <v>120</v>
      </c>
      <c r="E35" s="16" t="s">
        <v>117</v>
      </c>
      <c r="F35" s="31" t="s">
        <v>17</v>
      </c>
      <c r="G35" s="31" t="s">
        <v>118</v>
      </c>
      <c r="H35" s="31" t="s">
        <v>54</v>
      </c>
      <c r="I35" s="19"/>
      <c r="J35" s="22" t="s">
        <v>20</v>
      </c>
      <c r="K35" s="22" t="s">
        <v>62</v>
      </c>
      <c r="L35" s="33">
        <v>1</v>
      </c>
      <c r="M35" s="19" t="s">
        <v>45</v>
      </c>
      <c r="O35" s="19" t="s">
        <v>36</v>
      </c>
      <c r="P35" s="80"/>
      <c r="Q35" s="80"/>
      <c r="R35" s="80"/>
      <c r="S35" s="80">
        <v>1</v>
      </c>
      <c r="T35" s="80"/>
      <c r="U35" s="80"/>
      <c r="V35" s="80"/>
      <c r="W35" s="80"/>
      <c r="Z35" s="19"/>
      <c r="AA35" s="19"/>
      <c r="AB35" s="22"/>
      <c r="AE35" s="19"/>
    </row>
    <row r="36" spans="1:31" ht="45">
      <c r="A36" s="16">
        <v>61</v>
      </c>
      <c r="B36" s="22"/>
      <c r="C36" s="22"/>
      <c r="D36" s="16" t="s">
        <v>121</v>
      </c>
      <c r="E36" s="16" t="s">
        <v>117</v>
      </c>
      <c r="F36" s="31" t="s">
        <v>17</v>
      </c>
      <c r="G36" s="78" t="s">
        <v>118</v>
      </c>
      <c r="H36" s="78" t="s">
        <v>54</v>
      </c>
      <c r="I36" s="80"/>
      <c r="J36" s="22" t="s">
        <v>20</v>
      </c>
      <c r="K36" s="22" t="s">
        <v>62</v>
      </c>
      <c r="L36" s="33">
        <v>1</v>
      </c>
      <c r="M36" s="19" t="s">
        <v>45</v>
      </c>
      <c r="O36" s="19" t="s">
        <v>36</v>
      </c>
      <c r="P36" s="80"/>
      <c r="Q36" s="80"/>
      <c r="R36" s="80"/>
      <c r="S36" s="80">
        <v>1</v>
      </c>
      <c r="T36" s="80"/>
      <c r="U36" s="80"/>
      <c r="V36" s="80"/>
      <c r="W36" s="80"/>
      <c r="Z36" s="19"/>
      <c r="AA36" s="19"/>
      <c r="AB36" s="22"/>
      <c r="AE36" s="16"/>
    </row>
    <row r="37" spans="1:31" ht="45">
      <c r="A37" s="16">
        <v>62</v>
      </c>
      <c r="B37" s="22"/>
      <c r="C37" s="22"/>
      <c r="D37" s="16" t="s">
        <v>122</v>
      </c>
      <c r="E37" s="16" t="s">
        <v>117</v>
      </c>
      <c r="F37" s="31" t="s">
        <v>17</v>
      </c>
      <c r="G37" s="31" t="s">
        <v>118</v>
      </c>
      <c r="H37" s="31" t="s">
        <v>54</v>
      </c>
      <c r="I37" s="19"/>
      <c r="J37" s="22" t="s">
        <v>20</v>
      </c>
      <c r="K37" s="22" t="s">
        <v>62</v>
      </c>
      <c r="L37" s="33">
        <v>1</v>
      </c>
      <c r="M37" s="19" t="s">
        <v>45</v>
      </c>
      <c r="O37" s="19" t="s">
        <v>55</v>
      </c>
      <c r="P37" s="80"/>
      <c r="Q37" s="80"/>
      <c r="R37" s="80"/>
      <c r="S37" s="80">
        <v>1</v>
      </c>
      <c r="T37" s="80"/>
      <c r="U37" s="80"/>
      <c r="V37" s="80"/>
      <c r="W37" s="80"/>
      <c r="Z37" s="19"/>
      <c r="AA37" s="19"/>
      <c r="AB37" s="22"/>
      <c r="AE37" s="19"/>
    </row>
    <row r="38" spans="1:31" ht="330">
      <c r="A38" s="63">
        <v>66</v>
      </c>
      <c r="B38" s="22"/>
      <c r="C38" s="22"/>
      <c r="D38" s="63" t="s">
        <v>28</v>
      </c>
      <c r="E38" s="63" t="s">
        <v>29</v>
      </c>
      <c r="F38" s="64" t="s">
        <v>17</v>
      </c>
      <c r="G38" s="64" t="s">
        <v>123</v>
      </c>
      <c r="H38" s="64" t="s">
        <v>80</v>
      </c>
      <c r="I38" s="65" t="s">
        <v>32</v>
      </c>
      <c r="J38" s="66" t="s">
        <v>33</v>
      </c>
      <c r="K38" s="66" t="s">
        <v>34</v>
      </c>
      <c r="L38" s="67">
        <v>1</v>
      </c>
      <c r="M38" s="63" t="s">
        <v>35</v>
      </c>
      <c r="N38" s="68"/>
      <c r="O38" s="63" t="s">
        <v>110</v>
      </c>
      <c r="P38" s="63"/>
      <c r="Q38" s="69"/>
      <c r="R38" s="69"/>
      <c r="S38" s="69">
        <v>1</v>
      </c>
      <c r="T38" s="69"/>
      <c r="U38" s="69"/>
      <c r="V38" s="69">
        <v>1</v>
      </c>
      <c r="W38" s="69"/>
      <c r="X38" s="68"/>
      <c r="Y38" s="68"/>
      <c r="Z38" s="69"/>
      <c r="AA38" s="69"/>
      <c r="AB38" s="66"/>
      <c r="AC38" s="70"/>
      <c r="AD38" s="70"/>
      <c r="AE38" s="69"/>
    </row>
    <row r="39" spans="1:31" ht="30">
      <c r="A39" s="16">
        <v>67</v>
      </c>
      <c r="B39" s="22"/>
      <c r="C39" s="22"/>
      <c r="D39" s="16" t="s">
        <v>124</v>
      </c>
      <c r="E39" s="16" t="s">
        <v>125</v>
      </c>
      <c r="F39" s="29" t="s">
        <v>17</v>
      </c>
      <c r="G39" s="29" t="s">
        <v>126</v>
      </c>
      <c r="H39" s="29" t="s">
        <v>31</v>
      </c>
      <c r="I39" s="57" t="s">
        <v>127</v>
      </c>
      <c r="J39" s="22" t="s">
        <v>33</v>
      </c>
      <c r="K39" s="22" t="s">
        <v>34</v>
      </c>
      <c r="L39" s="33">
        <v>1</v>
      </c>
      <c r="M39" s="16" t="s">
        <v>35</v>
      </c>
      <c r="O39" s="19" t="s">
        <v>36</v>
      </c>
      <c r="P39" s="19"/>
      <c r="Q39" s="19"/>
      <c r="R39" s="19"/>
      <c r="S39" s="19">
        <v>1</v>
      </c>
      <c r="T39" s="19"/>
      <c r="U39" s="31" t="s">
        <v>17</v>
      </c>
      <c r="V39" s="19">
        <v>1</v>
      </c>
      <c r="W39" s="19"/>
      <c r="Z39" s="19"/>
      <c r="AA39" s="19"/>
      <c r="AB39" s="22"/>
      <c r="AE39" s="19"/>
    </row>
    <row r="40" spans="1:31" ht="90">
      <c r="A40" s="16">
        <v>70</v>
      </c>
      <c r="B40" s="22"/>
      <c r="C40" s="22"/>
      <c r="D40" s="16" t="s">
        <v>128</v>
      </c>
      <c r="E40" s="16" t="s">
        <v>70</v>
      </c>
      <c r="F40" s="31" t="s">
        <v>17</v>
      </c>
      <c r="G40" s="31" t="s">
        <v>129</v>
      </c>
      <c r="H40" s="31" t="s">
        <v>31</v>
      </c>
      <c r="I40" s="16" t="s">
        <v>130</v>
      </c>
      <c r="J40" s="22" t="s">
        <v>33</v>
      </c>
      <c r="K40" s="22" t="s">
        <v>34</v>
      </c>
      <c r="L40" s="33">
        <v>1</v>
      </c>
      <c r="M40" s="19" t="s">
        <v>35</v>
      </c>
      <c r="O40" s="19" t="s">
        <v>36</v>
      </c>
      <c r="P40" s="19"/>
      <c r="Q40" s="19"/>
      <c r="R40" s="19"/>
      <c r="S40" s="19"/>
      <c r="T40" s="19"/>
      <c r="U40" s="19"/>
      <c r="V40" s="19">
        <v>1</v>
      </c>
      <c r="W40" s="19"/>
      <c r="Z40" s="19"/>
      <c r="AA40" s="19"/>
      <c r="AB40" s="22"/>
      <c r="AE40" s="19"/>
    </row>
    <row r="41" spans="1:31" ht="30">
      <c r="A41" s="19">
        <v>73</v>
      </c>
      <c r="B41" s="22"/>
      <c r="C41" s="22"/>
      <c r="D41" s="16" t="s">
        <v>131</v>
      </c>
      <c r="E41" s="16"/>
      <c r="F41" s="31" t="s">
        <v>17</v>
      </c>
      <c r="G41" s="78" t="s">
        <v>132</v>
      </c>
      <c r="H41" s="78" t="s">
        <v>133</v>
      </c>
      <c r="I41" s="80"/>
      <c r="J41" s="22" t="s">
        <v>33</v>
      </c>
      <c r="K41" s="22" t="s">
        <v>62</v>
      </c>
      <c r="L41" s="33">
        <v>2</v>
      </c>
      <c r="M41" s="19" t="s">
        <v>45</v>
      </c>
      <c r="O41" s="19" t="s">
        <v>55</v>
      </c>
      <c r="P41" s="19"/>
      <c r="Q41" s="19"/>
      <c r="R41" s="19"/>
      <c r="S41" s="19"/>
      <c r="T41" s="19"/>
      <c r="U41" s="19"/>
      <c r="V41" s="19"/>
      <c r="W41" s="19">
        <v>1</v>
      </c>
      <c r="Z41" s="19"/>
      <c r="AA41" s="19"/>
      <c r="AB41" s="22"/>
      <c r="AE41" s="19"/>
    </row>
    <row r="42" spans="1:31" ht="75">
      <c r="A42" s="16">
        <v>1</v>
      </c>
      <c r="B42" s="22" t="s">
        <v>134</v>
      </c>
      <c r="C42" s="22" t="s">
        <v>135</v>
      </c>
      <c r="D42" s="16" t="s">
        <v>136</v>
      </c>
      <c r="E42" s="16"/>
      <c r="F42" s="29" t="s">
        <v>137</v>
      </c>
      <c r="G42" s="29" t="s">
        <v>38</v>
      </c>
      <c r="H42" s="29" t="s">
        <v>19</v>
      </c>
      <c r="I42" s="16"/>
      <c r="J42" s="22" t="s">
        <v>20</v>
      </c>
      <c r="K42" s="22" t="s">
        <v>86</v>
      </c>
      <c r="L42" s="20">
        <v>4</v>
      </c>
      <c r="M42" s="16" t="s">
        <v>39</v>
      </c>
      <c r="N42" s="13" t="s">
        <v>138</v>
      </c>
      <c r="O42" s="19" t="s">
        <v>24</v>
      </c>
      <c r="P42" s="19"/>
      <c r="Q42" s="17"/>
      <c r="R42" s="16">
        <v>1</v>
      </c>
      <c r="S42" s="16"/>
      <c r="T42" s="16"/>
      <c r="U42" s="16"/>
      <c r="V42" s="16"/>
      <c r="W42" s="16"/>
      <c r="X42" s="13" t="s">
        <v>139</v>
      </c>
      <c r="Z42" s="16"/>
      <c r="AA42" s="16"/>
      <c r="AB42" s="27">
        <v>1</v>
      </c>
      <c r="AC42" t="s">
        <v>140</v>
      </c>
      <c r="AE42" s="17"/>
    </row>
    <row r="43" spans="1:31" ht="150">
      <c r="A43" s="16">
        <v>2</v>
      </c>
      <c r="B43" s="22" t="s">
        <v>134</v>
      </c>
      <c r="C43" s="22" t="s">
        <v>141</v>
      </c>
      <c r="D43" s="16" t="s">
        <v>142</v>
      </c>
      <c r="E43" s="16"/>
      <c r="F43" s="29" t="s">
        <v>137</v>
      </c>
      <c r="G43" s="29" t="s">
        <v>57</v>
      </c>
      <c r="H43" s="29" t="s">
        <v>19</v>
      </c>
      <c r="I43" s="16"/>
      <c r="J43" s="22" t="s">
        <v>20</v>
      </c>
      <c r="K43" s="22" t="s">
        <v>51</v>
      </c>
      <c r="L43" s="20">
        <v>5</v>
      </c>
      <c r="M43" s="16" t="s">
        <v>39</v>
      </c>
      <c r="N43" s="13" t="s">
        <v>143</v>
      </c>
      <c r="O43" s="19" t="s">
        <v>24</v>
      </c>
      <c r="P43" s="19"/>
      <c r="Q43" s="17"/>
      <c r="R43" s="16">
        <v>1</v>
      </c>
      <c r="S43" s="16"/>
      <c r="T43" s="16"/>
      <c r="U43" s="16"/>
      <c r="V43" s="16"/>
      <c r="W43" s="16"/>
      <c r="Z43" s="16"/>
      <c r="AA43" s="16"/>
      <c r="AB43" s="27">
        <v>1</v>
      </c>
      <c r="AE43" s="16"/>
    </row>
    <row r="44" spans="1:31" ht="165">
      <c r="A44" s="16">
        <v>3</v>
      </c>
      <c r="B44" s="22" t="s">
        <v>134</v>
      </c>
      <c r="C44" s="22" t="s">
        <v>144</v>
      </c>
      <c r="D44" s="16" t="s">
        <v>145</v>
      </c>
      <c r="E44" s="16" t="s">
        <v>49</v>
      </c>
      <c r="F44" s="29" t="s">
        <v>137</v>
      </c>
      <c r="G44" s="29" t="s">
        <v>50</v>
      </c>
      <c r="H44" s="29" t="s">
        <v>19</v>
      </c>
      <c r="I44" s="16"/>
      <c r="J44" s="22" t="s">
        <v>20</v>
      </c>
      <c r="K44" s="22" t="s">
        <v>51</v>
      </c>
      <c r="L44" s="20">
        <v>5</v>
      </c>
      <c r="M44" s="16" t="s">
        <v>39</v>
      </c>
      <c r="N44" s="13" t="s">
        <v>146</v>
      </c>
      <c r="O44" s="19" t="s">
        <v>24</v>
      </c>
      <c r="P44" s="19"/>
      <c r="Q44" s="17"/>
      <c r="R44" s="16">
        <v>1</v>
      </c>
      <c r="S44" s="16"/>
      <c r="T44" s="16"/>
      <c r="U44" s="16"/>
      <c r="V44" s="16"/>
      <c r="W44" s="16"/>
      <c r="Z44" s="16"/>
      <c r="AA44" s="16"/>
      <c r="AB44" s="27">
        <v>1</v>
      </c>
      <c r="AE44" s="16"/>
    </row>
    <row r="45" spans="1:31" ht="165">
      <c r="A45" s="63">
        <v>4</v>
      </c>
      <c r="B45" s="22" t="s">
        <v>134</v>
      </c>
      <c r="C45" s="22" t="s">
        <v>144</v>
      </c>
      <c r="D45" s="63" t="s">
        <v>147</v>
      </c>
      <c r="E45" s="63" t="s">
        <v>42</v>
      </c>
      <c r="F45" s="64" t="s">
        <v>137</v>
      </c>
      <c r="G45" s="64" t="s">
        <v>123</v>
      </c>
      <c r="H45" s="64" t="s">
        <v>80</v>
      </c>
      <c r="I45" s="63"/>
      <c r="J45" s="66" t="s">
        <v>33</v>
      </c>
      <c r="K45" s="66" t="s">
        <v>62</v>
      </c>
      <c r="L45" s="71">
        <v>1</v>
      </c>
      <c r="M45" s="63" t="s">
        <v>45</v>
      </c>
      <c r="N45" s="68"/>
      <c r="O45" s="63" t="s">
        <v>148</v>
      </c>
      <c r="P45" s="63"/>
      <c r="Q45" s="63"/>
      <c r="R45" s="63">
        <v>1</v>
      </c>
      <c r="S45" s="63"/>
      <c r="T45" s="63"/>
      <c r="U45" s="63"/>
      <c r="V45" s="63"/>
      <c r="W45" s="63"/>
      <c r="X45" s="68"/>
      <c r="Y45" s="68"/>
      <c r="Z45" s="63"/>
      <c r="AA45" s="63"/>
      <c r="AB45" s="72">
        <v>0.3</v>
      </c>
      <c r="AC45" s="70"/>
      <c r="AD45" s="70"/>
      <c r="AE45" s="73" t="s">
        <v>149</v>
      </c>
    </row>
    <row r="46" spans="1:31" ht="150">
      <c r="A46" s="16">
        <v>5</v>
      </c>
      <c r="B46" s="23" t="s">
        <v>150</v>
      </c>
      <c r="C46" s="23" t="s">
        <v>151</v>
      </c>
      <c r="D46" s="18" t="s">
        <v>152</v>
      </c>
      <c r="E46" s="18"/>
      <c r="F46" s="30" t="s">
        <v>137</v>
      </c>
      <c r="G46" s="31" t="s">
        <v>118</v>
      </c>
      <c r="H46" s="29" t="s">
        <v>19</v>
      </c>
      <c r="I46" s="18"/>
      <c r="J46" s="23" t="s">
        <v>20</v>
      </c>
      <c r="K46" s="23" t="s">
        <v>51</v>
      </c>
      <c r="L46" s="32">
        <v>5</v>
      </c>
      <c r="M46" s="16" t="s">
        <v>75</v>
      </c>
      <c r="N46" s="13" t="s">
        <v>153</v>
      </c>
      <c r="O46" s="16" t="s">
        <v>77</v>
      </c>
      <c r="P46" s="19"/>
      <c r="Q46" s="17"/>
      <c r="R46" s="18"/>
      <c r="S46" s="18">
        <v>1</v>
      </c>
      <c r="T46" s="18"/>
      <c r="U46" s="18"/>
      <c r="V46" s="18"/>
      <c r="W46" s="18"/>
      <c r="Z46" s="18"/>
      <c r="AA46" s="18"/>
      <c r="AB46" s="23"/>
      <c r="AE46" s="19"/>
    </row>
    <row r="47" spans="1:31" ht="150">
      <c r="A47" s="16">
        <v>6</v>
      </c>
      <c r="B47" s="23" t="s">
        <v>150</v>
      </c>
      <c r="C47" s="23" t="s">
        <v>151</v>
      </c>
      <c r="D47" s="18" t="s">
        <v>154</v>
      </c>
      <c r="E47" s="18"/>
      <c r="F47" s="30" t="s">
        <v>137</v>
      </c>
      <c r="G47" s="31" t="s">
        <v>118</v>
      </c>
      <c r="H47" s="29" t="s">
        <v>19</v>
      </c>
      <c r="I47" s="18"/>
      <c r="J47" s="23" t="s">
        <v>20</v>
      </c>
      <c r="K47" s="23" t="s">
        <v>86</v>
      </c>
      <c r="L47" s="32">
        <v>4</v>
      </c>
      <c r="M47" s="16" t="s">
        <v>75</v>
      </c>
      <c r="N47" s="13" t="s">
        <v>155</v>
      </c>
      <c r="O47" s="16" t="s">
        <v>77</v>
      </c>
      <c r="P47" s="19"/>
      <c r="Q47" s="17"/>
      <c r="R47" s="18"/>
      <c r="S47" s="18">
        <v>1</v>
      </c>
      <c r="T47" s="18"/>
      <c r="U47" s="18"/>
      <c r="V47" s="18"/>
      <c r="W47" s="18"/>
      <c r="Z47" s="18"/>
      <c r="AA47" s="18"/>
      <c r="AB47" s="28">
        <v>1</v>
      </c>
      <c r="AE47" s="19"/>
    </row>
    <row r="48" spans="1:31" ht="150">
      <c r="A48" s="16">
        <v>7</v>
      </c>
      <c r="B48" s="23" t="s">
        <v>150</v>
      </c>
      <c r="C48" s="23" t="s">
        <v>151</v>
      </c>
      <c r="D48" s="18" t="s">
        <v>156</v>
      </c>
      <c r="E48" s="18"/>
      <c r="F48" s="30" t="s">
        <v>137</v>
      </c>
      <c r="G48" s="31" t="s">
        <v>118</v>
      </c>
      <c r="H48" s="29" t="s">
        <v>19</v>
      </c>
      <c r="I48" s="18"/>
      <c r="J48" s="23" t="s">
        <v>20</v>
      </c>
      <c r="K48" s="23" t="s">
        <v>86</v>
      </c>
      <c r="L48" s="32">
        <v>4</v>
      </c>
      <c r="M48" s="16" t="s">
        <v>75</v>
      </c>
      <c r="N48" s="13" t="s">
        <v>155</v>
      </c>
      <c r="O48" s="16" t="s">
        <v>77</v>
      </c>
      <c r="P48" s="19"/>
      <c r="Q48" s="17"/>
      <c r="R48" s="18"/>
      <c r="S48" s="18">
        <v>1</v>
      </c>
      <c r="T48" s="18"/>
      <c r="U48" s="18"/>
      <c r="V48" s="18"/>
      <c r="W48" s="18"/>
      <c r="Z48" s="18"/>
      <c r="AA48" s="18"/>
      <c r="AB48" s="28">
        <v>1</v>
      </c>
      <c r="AE48" s="19"/>
    </row>
    <row r="49" spans="1:31" ht="90">
      <c r="A49" s="16">
        <v>8</v>
      </c>
      <c r="B49" s="23" t="s">
        <v>150</v>
      </c>
      <c r="C49" s="23" t="s">
        <v>157</v>
      </c>
      <c r="D49" s="18" t="s">
        <v>158</v>
      </c>
      <c r="E49" s="18"/>
      <c r="F49" s="30" t="s">
        <v>137</v>
      </c>
      <c r="G49" s="30" t="s">
        <v>79</v>
      </c>
      <c r="H49" s="29" t="s">
        <v>159</v>
      </c>
      <c r="I49" s="18"/>
      <c r="J49" s="23" t="s">
        <v>20</v>
      </c>
      <c r="K49" s="23" t="s">
        <v>86</v>
      </c>
      <c r="L49" s="32">
        <v>4</v>
      </c>
      <c r="M49" s="18"/>
      <c r="N49" s="13" t="s">
        <v>155</v>
      </c>
      <c r="O49" s="17" t="s">
        <v>81</v>
      </c>
      <c r="P49" s="17"/>
      <c r="Q49" s="17"/>
      <c r="R49" s="18"/>
      <c r="S49" s="18">
        <v>1</v>
      </c>
      <c r="T49" s="18"/>
      <c r="U49" s="18"/>
      <c r="V49" s="18"/>
      <c r="W49" s="18"/>
      <c r="Z49" s="18"/>
      <c r="AA49" s="18"/>
      <c r="AB49" s="28">
        <v>1</v>
      </c>
      <c r="AE49" s="19"/>
    </row>
    <row r="50" spans="1:31" ht="50.25" customHeight="1">
      <c r="A50" s="16">
        <v>9</v>
      </c>
      <c r="B50" s="22" t="s">
        <v>160</v>
      </c>
      <c r="C50" s="22" t="s">
        <v>161</v>
      </c>
      <c r="D50" s="16" t="s">
        <v>162</v>
      </c>
      <c r="E50" s="16"/>
      <c r="F50" s="29" t="s">
        <v>137</v>
      </c>
      <c r="G50" s="29" t="s">
        <v>79</v>
      </c>
      <c r="H50" s="29" t="s">
        <v>80</v>
      </c>
      <c r="I50" s="16"/>
      <c r="J50" s="22" t="s">
        <v>20</v>
      </c>
      <c r="K50" s="22" t="s">
        <v>21</v>
      </c>
      <c r="L50" s="20">
        <v>5</v>
      </c>
      <c r="M50" s="35"/>
      <c r="N50" s="13" t="s">
        <v>163</v>
      </c>
      <c r="O50" s="17" t="s">
        <v>81</v>
      </c>
      <c r="P50" s="81"/>
      <c r="Q50" s="81"/>
      <c r="R50" s="16"/>
      <c r="S50" s="16"/>
      <c r="T50" s="16">
        <v>1</v>
      </c>
      <c r="U50" s="16"/>
      <c r="V50" s="16"/>
      <c r="W50" s="16"/>
      <c r="Z50" s="16"/>
      <c r="AA50" s="16"/>
      <c r="AB50" s="27">
        <v>1</v>
      </c>
      <c r="AE50" s="19"/>
    </row>
    <row r="51" spans="1:31" ht="90">
      <c r="A51" s="16">
        <v>10</v>
      </c>
      <c r="B51" s="22" t="s">
        <v>160</v>
      </c>
      <c r="C51" s="22" t="s">
        <v>161</v>
      </c>
      <c r="D51" s="16" t="s">
        <v>164</v>
      </c>
      <c r="E51" s="16"/>
      <c r="F51" s="29" t="s">
        <v>137</v>
      </c>
      <c r="G51" s="29" t="s">
        <v>79</v>
      </c>
      <c r="H51" s="29" t="s">
        <v>80</v>
      </c>
      <c r="I51" s="16"/>
      <c r="J51" s="22" t="s">
        <v>20</v>
      </c>
      <c r="K51" s="22" t="s">
        <v>86</v>
      </c>
      <c r="L51" s="20">
        <v>5</v>
      </c>
      <c r="M51" s="16"/>
      <c r="N51" s="13" t="s">
        <v>165</v>
      </c>
      <c r="O51" s="17" t="s">
        <v>81</v>
      </c>
      <c r="P51" s="17"/>
      <c r="Q51" s="17"/>
      <c r="R51" s="16"/>
      <c r="S51" s="16"/>
      <c r="T51" s="16">
        <v>1</v>
      </c>
      <c r="U51" s="16"/>
      <c r="V51" s="16"/>
      <c r="W51" s="16"/>
      <c r="Z51" s="16"/>
      <c r="AA51" s="16"/>
      <c r="AB51" s="27">
        <v>1</v>
      </c>
      <c r="AE51" s="19"/>
    </row>
    <row r="52" spans="1:31" ht="60">
      <c r="A52" s="16">
        <v>11</v>
      </c>
      <c r="B52" s="22" t="s">
        <v>160</v>
      </c>
      <c r="C52" s="22" t="s">
        <v>166</v>
      </c>
      <c r="D52" s="16" t="s">
        <v>167</v>
      </c>
      <c r="E52" s="16"/>
      <c r="F52" s="29" t="s">
        <v>137</v>
      </c>
      <c r="G52" s="29" t="s">
        <v>79</v>
      </c>
      <c r="H52" s="29" t="s">
        <v>80</v>
      </c>
      <c r="I52" s="16"/>
      <c r="J52" s="22" t="s">
        <v>20</v>
      </c>
      <c r="K52" s="22" t="s">
        <v>21</v>
      </c>
      <c r="L52" s="20">
        <v>5</v>
      </c>
      <c r="M52" s="16"/>
      <c r="O52" s="17" t="s">
        <v>81</v>
      </c>
      <c r="P52" s="17"/>
      <c r="Q52" s="17"/>
      <c r="R52" s="16"/>
      <c r="S52" s="16"/>
      <c r="T52" s="16">
        <v>1</v>
      </c>
      <c r="U52" s="16"/>
      <c r="V52" s="16"/>
      <c r="W52" s="16"/>
      <c r="Z52" s="16"/>
      <c r="AA52" s="16"/>
      <c r="AB52" s="27">
        <v>1</v>
      </c>
      <c r="AE52" s="19"/>
    </row>
    <row r="53" spans="1:31" ht="60">
      <c r="A53" s="16">
        <v>12</v>
      </c>
      <c r="B53" s="22" t="s">
        <v>160</v>
      </c>
      <c r="C53" s="22" t="s">
        <v>166</v>
      </c>
      <c r="D53" s="16" t="s">
        <v>168</v>
      </c>
      <c r="E53" s="16"/>
      <c r="F53" s="29" t="s">
        <v>137</v>
      </c>
      <c r="G53" s="29" t="s">
        <v>18</v>
      </c>
      <c r="H53" s="29" t="s">
        <v>19</v>
      </c>
      <c r="I53" s="16"/>
      <c r="J53" s="22" t="s">
        <v>20</v>
      </c>
      <c r="K53" s="22" t="s">
        <v>21</v>
      </c>
      <c r="L53" s="20">
        <v>4</v>
      </c>
      <c r="M53" s="16" t="s">
        <v>22</v>
      </c>
      <c r="N53" s="13" t="s">
        <v>23</v>
      </c>
      <c r="O53" s="19" t="s">
        <v>24</v>
      </c>
      <c r="P53" s="19"/>
      <c r="Q53" s="17"/>
      <c r="R53" s="16"/>
      <c r="S53" s="16"/>
      <c r="T53" s="16"/>
      <c r="U53" s="16">
        <v>1</v>
      </c>
      <c r="V53" s="16"/>
      <c r="W53" s="16"/>
      <c r="Z53" s="16"/>
      <c r="AA53" s="16"/>
      <c r="AB53" s="27">
        <v>1</v>
      </c>
      <c r="AE53" s="19"/>
    </row>
    <row r="54" spans="1:31" ht="105">
      <c r="A54" s="16">
        <v>15</v>
      </c>
      <c r="B54" s="22" t="s">
        <v>160</v>
      </c>
      <c r="C54" s="22" t="s">
        <v>169</v>
      </c>
      <c r="D54" s="16" t="s">
        <v>170</v>
      </c>
      <c r="E54" s="16"/>
      <c r="F54" s="29" t="s">
        <v>137</v>
      </c>
      <c r="G54" s="29" t="s">
        <v>79</v>
      </c>
      <c r="H54" s="55" t="s">
        <v>80</v>
      </c>
      <c r="I54" s="16"/>
      <c r="J54" s="22" t="s">
        <v>20</v>
      </c>
      <c r="K54" s="22" t="s">
        <v>86</v>
      </c>
      <c r="L54" s="20">
        <v>5</v>
      </c>
      <c r="M54" s="35"/>
      <c r="N54" s="13" t="s">
        <v>165</v>
      </c>
      <c r="O54" s="17" t="s">
        <v>81</v>
      </c>
      <c r="P54" s="17"/>
      <c r="Q54" s="17"/>
      <c r="R54" s="16"/>
      <c r="S54" s="16"/>
      <c r="T54" s="16">
        <v>1</v>
      </c>
      <c r="U54" s="16"/>
      <c r="V54" s="16"/>
      <c r="W54" s="16"/>
      <c r="Z54" s="16"/>
      <c r="AA54" s="16"/>
      <c r="AB54" s="27">
        <v>1</v>
      </c>
      <c r="AE54" s="19"/>
    </row>
    <row r="55" spans="1:31" ht="60">
      <c r="A55" s="16">
        <v>16</v>
      </c>
      <c r="B55" s="22" t="s">
        <v>160</v>
      </c>
      <c r="C55" s="22" t="s">
        <v>171</v>
      </c>
      <c r="D55" s="16" t="s">
        <v>172</v>
      </c>
      <c r="E55" s="16"/>
      <c r="F55" s="29" t="s">
        <v>137</v>
      </c>
      <c r="G55" s="29" t="s">
        <v>79</v>
      </c>
      <c r="H55" s="29" t="s">
        <v>80</v>
      </c>
      <c r="I55" s="16"/>
      <c r="J55" s="22" t="s">
        <v>20</v>
      </c>
      <c r="K55" s="22" t="s">
        <v>86</v>
      </c>
      <c r="L55" s="20">
        <v>4</v>
      </c>
      <c r="M55" s="16"/>
      <c r="N55" s="13" t="s">
        <v>165</v>
      </c>
      <c r="O55" s="17" t="s">
        <v>81</v>
      </c>
      <c r="P55" s="17"/>
      <c r="Q55" s="16"/>
      <c r="R55" s="16"/>
      <c r="S55" s="16"/>
      <c r="T55" s="16">
        <v>1</v>
      </c>
      <c r="U55" s="16"/>
      <c r="V55" s="16"/>
      <c r="W55" s="16"/>
      <c r="Z55" s="16"/>
      <c r="AA55" s="16"/>
      <c r="AB55" s="27">
        <v>1</v>
      </c>
      <c r="AE55" s="19"/>
    </row>
    <row r="56" spans="1:31" ht="60">
      <c r="A56" s="16">
        <v>17</v>
      </c>
      <c r="B56" s="22"/>
      <c r="C56" s="22"/>
      <c r="D56" s="16" t="s">
        <v>173</v>
      </c>
      <c r="E56" s="16"/>
      <c r="F56" s="29" t="s">
        <v>137</v>
      </c>
      <c r="G56" s="29" t="s">
        <v>79</v>
      </c>
      <c r="H56" s="29" t="s">
        <v>80</v>
      </c>
      <c r="I56" s="16"/>
      <c r="J56" s="22"/>
      <c r="K56" s="22" t="s">
        <v>21</v>
      </c>
      <c r="L56" s="20">
        <v>3</v>
      </c>
      <c r="M56" s="16" t="s">
        <v>65</v>
      </c>
      <c r="N56" s="13" t="s">
        <v>68</v>
      </c>
      <c r="O56" s="17" t="s">
        <v>81</v>
      </c>
      <c r="P56" s="17"/>
      <c r="Q56" s="16"/>
      <c r="R56" s="16"/>
      <c r="S56" s="16"/>
      <c r="T56" s="16">
        <v>1</v>
      </c>
      <c r="U56" s="16"/>
      <c r="V56" s="16"/>
      <c r="W56" s="16"/>
      <c r="Z56" s="16"/>
      <c r="AA56" s="16"/>
      <c r="AB56" s="27"/>
      <c r="AE56" s="19"/>
    </row>
    <row r="57" spans="1:31" ht="45">
      <c r="A57" s="16">
        <v>18</v>
      </c>
      <c r="B57" s="22" t="s">
        <v>174</v>
      </c>
      <c r="C57" s="22" t="s">
        <v>175</v>
      </c>
      <c r="D57" s="19" t="s">
        <v>176</v>
      </c>
      <c r="E57" s="19" t="s">
        <v>177</v>
      </c>
      <c r="F57" s="31" t="s">
        <v>137</v>
      </c>
      <c r="G57" s="31" t="s">
        <v>79</v>
      </c>
      <c r="H57" s="31" t="s">
        <v>159</v>
      </c>
      <c r="I57" s="19"/>
      <c r="J57" s="22" t="s">
        <v>20</v>
      </c>
      <c r="K57" s="22" t="s">
        <v>86</v>
      </c>
      <c r="L57" s="33">
        <v>1</v>
      </c>
      <c r="M57" s="19" t="s">
        <v>45</v>
      </c>
      <c r="O57" s="19" t="s">
        <v>178</v>
      </c>
      <c r="P57" s="19"/>
      <c r="Q57" s="19"/>
      <c r="R57" s="19"/>
      <c r="S57" s="19"/>
      <c r="T57" s="19"/>
      <c r="U57" s="19">
        <v>1</v>
      </c>
      <c r="V57" s="19"/>
      <c r="W57" s="19"/>
      <c r="Z57" s="19"/>
      <c r="AA57" s="19"/>
      <c r="AB57" s="22"/>
      <c r="AE57" s="18"/>
    </row>
    <row r="58" spans="1:31" ht="45">
      <c r="A58" s="16">
        <v>19</v>
      </c>
      <c r="B58" s="22" t="s">
        <v>174</v>
      </c>
      <c r="C58" s="22" t="s">
        <v>175</v>
      </c>
      <c r="D58" s="19" t="s">
        <v>179</v>
      </c>
      <c r="E58" s="19" t="s">
        <v>177</v>
      </c>
      <c r="F58" s="31" t="s">
        <v>137</v>
      </c>
      <c r="G58" s="31" t="s">
        <v>79</v>
      </c>
      <c r="H58" s="31" t="s">
        <v>159</v>
      </c>
      <c r="I58" s="19"/>
      <c r="J58" s="22" t="s">
        <v>20</v>
      </c>
      <c r="K58" s="22" t="s">
        <v>51</v>
      </c>
      <c r="L58" s="33">
        <v>1</v>
      </c>
      <c r="M58" s="19" t="s">
        <v>45</v>
      </c>
      <c r="O58" s="19" t="s">
        <v>178</v>
      </c>
      <c r="P58" s="19"/>
      <c r="Q58" s="19"/>
      <c r="R58" s="19"/>
      <c r="S58" s="19"/>
      <c r="T58" s="19"/>
      <c r="U58" s="19">
        <v>1</v>
      </c>
      <c r="V58" s="19"/>
      <c r="W58" s="19"/>
      <c r="Z58" s="19"/>
      <c r="AA58" s="19"/>
      <c r="AB58" s="22"/>
      <c r="AE58" s="18"/>
    </row>
    <row r="59" spans="1:31" ht="45">
      <c r="A59" s="16">
        <v>20</v>
      </c>
      <c r="B59" s="22" t="s">
        <v>174</v>
      </c>
      <c r="C59" s="22" t="s">
        <v>175</v>
      </c>
      <c r="D59" s="19" t="s">
        <v>180</v>
      </c>
      <c r="E59" s="19"/>
      <c r="F59" s="31" t="s">
        <v>137</v>
      </c>
      <c r="G59" s="31" t="s">
        <v>79</v>
      </c>
      <c r="H59" s="31" t="s">
        <v>80</v>
      </c>
      <c r="I59" s="19"/>
      <c r="J59" s="22" t="s">
        <v>20</v>
      </c>
      <c r="K59" s="22" t="s">
        <v>21</v>
      </c>
      <c r="L59" s="33">
        <v>5</v>
      </c>
      <c r="M59" s="19"/>
      <c r="N59" s="13" t="s">
        <v>165</v>
      </c>
      <c r="O59" s="19" t="s">
        <v>81</v>
      </c>
      <c r="P59" s="19"/>
      <c r="Q59" s="19"/>
      <c r="R59" s="19"/>
      <c r="S59" s="19"/>
      <c r="T59" s="19"/>
      <c r="U59" s="19">
        <v>1</v>
      </c>
      <c r="V59" s="19"/>
      <c r="W59" s="19"/>
      <c r="Z59" s="19"/>
      <c r="AA59" s="19"/>
      <c r="AB59" s="22"/>
      <c r="AE59" s="19"/>
    </row>
    <row r="60" spans="1:31" ht="45">
      <c r="A60" s="16">
        <v>21</v>
      </c>
      <c r="B60" s="22" t="s">
        <v>174</v>
      </c>
      <c r="C60" s="22" t="s">
        <v>181</v>
      </c>
      <c r="D60" s="19" t="s">
        <v>182</v>
      </c>
      <c r="E60" s="19"/>
      <c r="F60" s="31" t="s">
        <v>137</v>
      </c>
      <c r="G60" s="31" t="s">
        <v>183</v>
      </c>
      <c r="H60" s="31" t="s">
        <v>80</v>
      </c>
      <c r="I60" s="19"/>
      <c r="J60" s="22" t="s">
        <v>20</v>
      </c>
      <c r="K60" s="22" t="s">
        <v>51</v>
      </c>
      <c r="L60" s="33">
        <v>5</v>
      </c>
      <c r="M60" s="19"/>
      <c r="N60" s="13" t="s">
        <v>165</v>
      </c>
      <c r="O60" s="19" t="s">
        <v>81</v>
      </c>
      <c r="P60" s="19"/>
      <c r="Q60" s="19"/>
      <c r="R60" s="19"/>
      <c r="S60" s="19"/>
      <c r="T60" s="19"/>
      <c r="U60" s="19">
        <v>1</v>
      </c>
      <c r="V60" s="19"/>
      <c r="W60" s="19"/>
      <c r="Z60" s="19"/>
      <c r="AA60" s="19"/>
      <c r="AB60" s="22"/>
      <c r="AE60" s="19"/>
    </row>
    <row r="61" spans="1:31" ht="45">
      <c r="A61" s="16">
        <v>22</v>
      </c>
      <c r="B61" s="22" t="s">
        <v>174</v>
      </c>
      <c r="C61" s="22" t="s">
        <v>181</v>
      </c>
      <c r="D61" s="19" t="s">
        <v>184</v>
      </c>
      <c r="E61" s="19"/>
      <c r="F61" s="31" t="s">
        <v>137</v>
      </c>
      <c r="G61" s="31" t="s">
        <v>79</v>
      </c>
      <c r="H61" s="31" t="s">
        <v>80</v>
      </c>
      <c r="I61" s="19"/>
      <c r="J61" s="22" t="s">
        <v>20</v>
      </c>
      <c r="K61" s="22" t="s">
        <v>51</v>
      </c>
      <c r="L61" s="33">
        <v>5</v>
      </c>
      <c r="M61" s="19"/>
      <c r="N61" s="13" t="s">
        <v>165</v>
      </c>
      <c r="O61" s="19" t="s">
        <v>81</v>
      </c>
      <c r="P61" s="19"/>
      <c r="Q61" s="19"/>
      <c r="R61" s="19"/>
      <c r="S61" s="19"/>
      <c r="T61" s="19"/>
      <c r="U61" s="19">
        <v>1</v>
      </c>
      <c r="V61" s="19"/>
      <c r="W61" s="19"/>
      <c r="Z61" s="19"/>
      <c r="AA61" s="19"/>
      <c r="AB61" s="22"/>
      <c r="AE61" s="19"/>
    </row>
    <row r="62" spans="1:31" ht="90">
      <c r="A62" s="16">
        <v>23</v>
      </c>
      <c r="B62" s="22" t="s">
        <v>26</v>
      </c>
      <c r="C62" s="22" t="s">
        <v>27</v>
      </c>
      <c r="D62" s="16" t="s">
        <v>185</v>
      </c>
      <c r="E62" s="16"/>
      <c r="F62" s="29" t="s">
        <v>137</v>
      </c>
      <c r="G62" s="29" t="s">
        <v>79</v>
      </c>
      <c r="H62" s="29" t="s">
        <v>80</v>
      </c>
      <c r="I62" s="16"/>
      <c r="J62" s="22" t="s">
        <v>20</v>
      </c>
      <c r="K62" s="22" t="s">
        <v>86</v>
      </c>
      <c r="L62" s="20">
        <v>5</v>
      </c>
      <c r="M62" s="35"/>
      <c r="N62" s="13" t="s">
        <v>165</v>
      </c>
      <c r="O62" s="19" t="s">
        <v>81</v>
      </c>
      <c r="P62" s="19"/>
      <c r="Q62" s="17"/>
      <c r="R62" s="16"/>
      <c r="S62" s="16"/>
      <c r="T62" s="16"/>
      <c r="U62" s="16"/>
      <c r="V62" s="16">
        <v>1</v>
      </c>
      <c r="W62" s="16"/>
      <c r="Z62" s="16"/>
      <c r="AA62" s="16"/>
      <c r="AB62" s="27"/>
      <c r="AE62" s="17"/>
    </row>
    <row r="63" spans="1:31" ht="90">
      <c r="A63" s="16">
        <v>24</v>
      </c>
      <c r="B63" s="22" t="s">
        <v>26</v>
      </c>
      <c r="C63" s="22" t="s">
        <v>27</v>
      </c>
      <c r="D63" s="16" t="s">
        <v>186</v>
      </c>
      <c r="E63" s="16"/>
      <c r="F63" s="29" t="s">
        <v>137</v>
      </c>
      <c r="G63" s="29" t="s">
        <v>79</v>
      </c>
      <c r="H63" s="29" t="s">
        <v>80</v>
      </c>
      <c r="I63" s="16"/>
      <c r="J63" s="22" t="s">
        <v>20</v>
      </c>
      <c r="K63" s="22" t="s">
        <v>51</v>
      </c>
      <c r="L63" s="20">
        <v>5</v>
      </c>
      <c r="M63" s="16"/>
      <c r="N63" s="13" t="s">
        <v>165</v>
      </c>
      <c r="O63" s="19" t="s">
        <v>81</v>
      </c>
      <c r="P63" s="19"/>
      <c r="Q63" s="16"/>
      <c r="R63" s="16"/>
      <c r="S63" s="16"/>
      <c r="T63" s="16"/>
      <c r="U63" s="16"/>
      <c r="V63" s="16">
        <v>1</v>
      </c>
      <c r="W63" s="16"/>
      <c r="Z63" s="16"/>
      <c r="AA63" s="16"/>
      <c r="AB63" s="27"/>
      <c r="AE63" s="16"/>
    </row>
    <row r="64" spans="1:31" ht="90">
      <c r="A64" s="16">
        <v>25</v>
      </c>
      <c r="B64" s="22" t="s">
        <v>26</v>
      </c>
      <c r="C64" s="22" t="s">
        <v>27</v>
      </c>
      <c r="D64" s="16" t="s">
        <v>187</v>
      </c>
      <c r="E64" s="16" t="s">
        <v>29</v>
      </c>
      <c r="F64" s="29" t="s">
        <v>137</v>
      </c>
      <c r="G64" s="29" t="s">
        <v>188</v>
      </c>
      <c r="H64" s="29" t="s">
        <v>133</v>
      </c>
      <c r="I64" s="16"/>
      <c r="J64" s="22" t="s">
        <v>33</v>
      </c>
      <c r="K64" s="22" t="s">
        <v>34</v>
      </c>
      <c r="L64" s="20">
        <v>2</v>
      </c>
      <c r="M64" s="16" t="s">
        <v>45</v>
      </c>
      <c r="O64" s="19" t="s">
        <v>55</v>
      </c>
      <c r="P64" s="19"/>
      <c r="Q64" s="16"/>
      <c r="R64" s="16"/>
      <c r="S64" s="16"/>
      <c r="T64" s="16"/>
      <c r="U64" s="16"/>
      <c r="V64" s="16">
        <v>1</v>
      </c>
      <c r="W64" s="16"/>
      <c r="Z64" s="16"/>
      <c r="AA64" s="16"/>
      <c r="AB64" s="27"/>
      <c r="AE64" s="21" t="s">
        <v>189</v>
      </c>
    </row>
    <row r="65" spans="1:31" ht="150">
      <c r="A65" s="16">
        <v>27</v>
      </c>
      <c r="B65" s="22" t="s">
        <v>190</v>
      </c>
      <c r="C65" s="22" t="s">
        <v>191</v>
      </c>
      <c r="D65" s="16" t="s">
        <v>192</v>
      </c>
      <c r="E65" s="16"/>
      <c r="F65" s="31" t="s">
        <v>137</v>
      </c>
      <c r="G65" s="31" t="s">
        <v>79</v>
      </c>
      <c r="H65" s="31" t="s">
        <v>80</v>
      </c>
      <c r="I65" s="19"/>
      <c r="J65" s="22" t="s">
        <v>20</v>
      </c>
      <c r="K65" s="22" t="s">
        <v>51</v>
      </c>
      <c r="L65" s="33">
        <v>5</v>
      </c>
      <c r="M65" s="19"/>
      <c r="N65" s="13" t="s">
        <v>165</v>
      </c>
      <c r="O65" s="19" t="s">
        <v>81</v>
      </c>
      <c r="P65" s="19"/>
      <c r="Q65" s="19"/>
      <c r="R65" s="19"/>
      <c r="S65" s="19"/>
      <c r="T65" s="19"/>
      <c r="U65" s="19"/>
      <c r="V65" s="19"/>
      <c r="W65" s="19">
        <v>1</v>
      </c>
      <c r="Z65" s="19"/>
      <c r="AA65" s="19"/>
      <c r="AB65" s="22"/>
      <c r="AE65" s="19"/>
    </row>
    <row r="66" spans="1:31" ht="75">
      <c r="A66" s="16">
        <v>28</v>
      </c>
      <c r="B66" s="22" t="s">
        <v>190</v>
      </c>
      <c r="C66" s="22" t="s">
        <v>193</v>
      </c>
      <c r="D66" s="16" t="s">
        <v>194</v>
      </c>
      <c r="E66" s="16"/>
      <c r="F66" s="31" t="s">
        <v>137</v>
      </c>
      <c r="G66" s="31" t="s">
        <v>195</v>
      </c>
      <c r="H66" s="29" t="s">
        <v>19</v>
      </c>
      <c r="I66" s="19"/>
      <c r="J66" s="22" t="s">
        <v>20</v>
      </c>
      <c r="K66" s="22" t="s">
        <v>51</v>
      </c>
      <c r="L66" s="33">
        <v>5</v>
      </c>
      <c r="M66" s="16" t="s">
        <v>75</v>
      </c>
      <c r="N66" s="13" t="s">
        <v>165</v>
      </c>
      <c r="O66" s="16" t="s">
        <v>77</v>
      </c>
      <c r="P66" s="19"/>
      <c r="Q66" s="19"/>
      <c r="R66" s="19"/>
      <c r="S66" s="19"/>
      <c r="T66" s="19"/>
      <c r="U66" s="19"/>
      <c r="V66" s="19"/>
      <c r="W66" s="19">
        <v>1</v>
      </c>
      <c r="Z66" s="19"/>
      <c r="AA66" s="19"/>
      <c r="AB66" s="22"/>
      <c r="AE66" s="19"/>
    </row>
    <row r="67" spans="1:31" ht="75">
      <c r="A67" s="16">
        <v>29</v>
      </c>
      <c r="B67" s="22" t="s">
        <v>190</v>
      </c>
      <c r="C67" s="22" t="s">
        <v>193</v>
      </c>
      <c r="D67" s="16" t="s">
        <v>196</v>
      </c>
      <c r="E67" s="16"/>
      <c r="F67" s="31" t="s">
        <v>137</v>
      </c>
      <c r="G67" s="31" t="s">
        <v>195</v>
      </c>
      <c r="H67" s="29" t="s">
        <v>19</v>
      </c>
      <c r="I67" s="19"/>
      <c r="J67" s="22" t="s">
        <v>20</v>
      </c>
      <c r="K67" s="22" t="s">
        <v>51</v>
      </c>
      <c r="L67" s="33">
        <v>4</v>
      </c>
      <c r="M67" s="16" t="s">
        <v>75</v>
      </c>
      <c r="N67" s="13" t="s">
        <v>197</v>
      </c>
      <c r="O67" s="16" t="s">
        <v>77</v>
      </c>
      <c r="P67" s="19"/>
      <c r="Q67" s="19"/>
      <c r="R67" s="19"/>
      <c r="S67" s="19"/>
      <c r="T67" s="19"/>
      <c r="U67" s="19"/>
      <c r="V67" s="19"/>
      <c r="W67" s="19">
        <v>1</v>
      </c>
      <c r="Z67" s="19"/>
      <c r="AA67" s="19"/>
      <c r="AB67" s="22"/>
      <c r="AE67" s="19"/>
    </row>
    <row r="68" spans="1:31" ht="45">
      <c r="A68" s="22">
        <v>80</v>
      </c>
      <c r="B68" s="22"/>
      <c r="C68" s="22"/>
      <c r="D68" s="22" t="s">
        <v>198</v>
      </c>
      <c r="E68" s="16"/>
      <c r="F68" s="31" t="s">
        <v>137</v>
      </c>
      <c r="G68" s="31" t="s">
        <v>132</v>
      </c>
      <c r="H68" s="31" t="s">
        <v>19</v>
      </c>
      <c r="I68" s="19"/>
      <c r="J68" s="22" t="s">
        <v>20</v>
      </c>
      <c r="K68" s="22" t="s">
        <v>86</v>
      </c>
      <c r="L68" s="33">
        <v>2</v>
      </c>
      <c r="M68" s="16" t="s">
        <v>75</v>
      </c>
      <c r="O68" s="19" t="s">
        <v>55</v>
      </c>
      <c r="P68" s="19"/>
      <c r="Q68" s="19"/>
      <c r="R68" s="19"/>
      <c r="S68" s="19"/>
      <c r="T68" s="19"/>
      <c r="U68" s="19"/>
      <c r="V68" s="19"/>
      <c r="W68" s="19">
        <v>1</v>
      </c>
      <c r="Z68" s="19"/>
      <c r="AA68" s="19"/>
      <c r="AB68" s="22"/>
      <c r="AE68" s="19"/>
    </row>
    <row r="69" spans="1:31" s="70" customFormat="1" ht="45">
      <c r="A69" s="22">
        <v>81</v>
      </c>
      <c r="B69" s="22"/>
      <c r="C69" s="22"/>
      <c r="D69" s="22" t="s">
        <v>199</v>
      </c>
      <c r="E69" s="16"/>
      <c r="F69" s="31" t="s">
        <v>137</v>
      </c>
      <c r="G69" s="31" t="s">
        <v>195</v>
      </c>
      <c r="H69" s="31" t="s">
        <v>19</v>
      </c>
      <c r="I69" s="19"/>
      <c r="J69" s="22" t="s">
        <v>20</v>
      </c>
      <c r="K69" s="22" t="s">
        <v>21</v>
      </c>
      <c r="L69" s="33">
        <v>3</v>
      </c>
      <c r="M69" s="16" t="s">
        <v>75</v>
      </c>
      <c r="N69" s="13"/>
      <c r="O69" s="16" t="s">
        <v>77</v>
      </c>
      <c r="P69" s="19"/>
      <c r="Q69" s="19"/>
      <c r="R69" s="19"/>
      <c r="S69" s="19"/>
      <c r="T69" s="19"/>
      <c r="U69" s="19"/>
      <c r="V69" s="19"/>
      <c r="W69" s="19">
        <v>1</v>
      </c>
      <c r="X69" s="13"/>
      <c r="Y69" s="13"/>
      <c r="Z69" s="19"/>
      <c r="AA69" s="19"/>
      <c r="AB69" s="22"/>
      <c r="AC69"/>
      <c r="AD69"/>
      <c r="AE69" s="19"/>
    </row>
    <row r="70" spans="1:31" ht="45">
      <c r="A70" s="16">
        <v>56</v>
      </c>
      <c r="B70" s="22"/>
      <c r="C70" s="22"/>
      <c r="D70" s="16" t="s">
        <v>200</v>
      </c>
      <c r="E70" s="16"/>
      <c r="F70" s="31"/>
      <c r="G70" s="31" t="s">
        <v>118</v>
      </c>
      <c r="H70" s="31" t="s">
        <v>19</v>
      </c>
      <c r="I70" s="19"/>
      <c r="J70" s="22" t="s">
        <v>20</v>
      </c>
      <c r="K70" s="22" t="s">
        <v>86</v>
      </c>
      <c r="L70" s="33">
        <v>5</v>
      </c>
      <c r="M70" s="16" t="s">
        <v>75</v>
      </c>
      <c r="N70" s="13" t="s">
        <v>201</v>
      </c>
      <c r="O70" s="16" t="s">
        <v>77</v>
      </c>
      <c r="P70" s="19"/>
      <c r="Q70" s="19"/>
      <c r="R70" s="19"/>
      <c r="S70" s="19">
        <v>1</v>
      </c>
      <c r="T70" s="19"/>
      <c r="U70" s="19"/>
      <c r="V70" s="19"/>
      <c r="W70" s="19"/>
      <c r="Z70" s="19"/>
      <c r="AA70" s="19"/>
      <c r="AB70" s="22"/>
      <c r="AE70" s="19"/>
    </row>
    <row r="71" spans="1:31" ht="45">
      <c r="A71" s="16">
        <v>57</v>
      </c>
      <c r="B71" s="22"/>
      <c r="C71" s="22"/>
      <c r="D71" s="16" t="s">
        <v>202</v>
      </c>
      <c r="E71" s="16"/>
      <c r="F71" s="78"/>
      <c r="G71" s="31" t="s">
        <v>118</v>
      </c>
      <c r="H71" s="31" t="s">
        <v>19</v>
      </c>
      <c r="I71" s="19"/>
      <c r="J71" s="22" t="s">
        <v>20</v>
      </c>
      <c r="K71" s="22" t="s">
        <v>86</v>
      </c>
      <c r="L71" s="33">
        <v>5</v>
      </c>
      <c r="M71" s="16" t="s">
        <v>75</v>
      </c>
      <c r="N71" s="13" t="s">
        <v>201</v>
      </c>
      <c r="O71" s="16" t="s">
        <v>77</v>
      </c>
      <c r="P71" s="19"/>
      <c r="Q71" s="19"/>
      <c r="R71" s="19"/>
      <c r="S71" s="19">
        <v>1</v>
      </c>
      <c r="T71" s="19"/>
      <c r="U71" s="19"/>
      <c r="V71" s="19"/>
      <c r="W71" s="19"/>
      <c r="Z71" s="19"/>
      <c r="AA71" s="19"/>
      <c r="AB71" s="22"/>
      <c r="AE71" s="19"/>
    </row>
    <row r="72" spans="1:31" ht="45">
      <c r="A72" s="16">
        <v>63</v>
      </c>
      <c r="B72" s="22"/>
      <c r="C72" s="22"/>
      <c r="D72" s="16" t="s">
        <v>203</v>
      </c>
      <c r="E72" s="16"/>
      <c r="F72" s="31"/>
      <c r="G72" s="31" t="s">
        <v>118</v>
      </c>
      <c r="H72" s="31" t="s">
        <v>54</v>
      </c>
      <c r="I72" s="19"/>
      <c r="J72" s="22" t="s">
        <v>20</v>
      </c>
      <c r="K72" s="22" t="s">
        <v>62</v>
      </c>
      <c r="L72" s="33">
        <v>3</v>
      </c>
      <c r="M72" s="19" t="s">
        <v>45</v>
      </c>
      <c r="N72" s="13" t="s">
        <v>204</v>
      </c>
      <c r="O72" s="19" t="s">
        <v>55</v>
      </c>
      <c r="P72" s="19"/>
      <c r="Q72" s="19"/>
      <c r="R72" s="19"/>
      <c r="S72" s="19">
        <v>1</v>
      </c>
      <c r="T72" s="19"/>
      <c r="U72" s="19"/>
      <c r="V72" s="19"/>
      <c r="W72" s="19"/>
      <c r="Z72" s="19"/>
      <c r="AA72" s="19"/>
      <c r="AB72" s="22"/>
      <c r="AE72" s="19"/>
    </row>
    <row r="73" spans="1:31" ht="60">
      <c r="A73" s="16">
        <v>64</v>
      </c>
      <c r="B73" s="22"/>
      <c r="C73" s="22"/>
      <c r="D73" s="16" t="s">
        <v>205</v>
      </c>
      <c r="E73" s="16"/>
      <c r="F73" s="31"/>
      <c r="G73" s="29" t="s">
        <v>126</v>
      </c>
      <c r="H73" s="31" t="s">
        <v>54</v>
      </c>
      <c r="I73" s="19"/>
      <c r="J73" s="22" t="s">
        <v>33</v>
      </c>
      <c r="K73" s="22" t="s">
        <v>34</v>
      </c>
      <c r="L73" s="33">
        <v>2</v>
      </c>
      <c r="M73" s="19" t="s">
        <v>206</v>
      </c>
      <c r="O73" s="19" t="s">
        <v>55</v>
      </c>
      <c r="P73" s="19"/>
      <c r="Q73" s="19"/>
      <c r="R73" s="19"/>
      <c r="S73" s="19">
        <v>1</v>
      </c>
      <c r="T73" s="19"/>
      <c r="U73" s="19"/>
      <c r="V73" s="19"/>
      <c r="W73" s="19"/>
      <c r="Z73" s="19"/>
      <c r="AA73" s="19"/>
      <c r="AB73" s="22"/>
      <c r="AE73" s="19"/>
    </row>
    <row r="74" spans="1:31" ht="60">
      <c r="A74" s="16">
        <v>65</v>
      </c>
      <c r="B74" s="22"/>
      <c r="C74" s="22"/>
      <c r="D74" s="16" t="s">
        <v>207</v>
      </c>
      <c r="E74" s="16"/>
      <c r="F74" s="31"/>
      <c r="G74" s="29" t="s">
        <v>57</v>
      </c>
      <c r="H74" s="31" t="s">
        <v>54</v>
      </c>
      <c r="I74" s="19"/>
      <c r="J74" s="22" t="s">
        <v>33</v>
      </c>
      <c r="K74" s="22" t="s">
        <v>34</v>
      </c>
      <c r="L74" s="33">
        <v>2</v>
      </c>
      <c r="M74" s="19" t="s">
        <v>206</v>
      </c>
      <c r="N74" s="13" t="s">
        <v>208</v>
      </c>
      <c r="O74" s="19" t="s">
        <v>209</v>
      </c>
      <c r="P74" s="19"/>
      <c r="Q74" s="19"/>
      <c r="R74" s="19">
        <v>1</v>
      </c>
      <c r="S74" s="19"/>
      <c r="T74" s="19"/>
      <c r="U74" s="19"/>
      <c r="V74" s="19"/>
      <c r="W74" s="19"/>
      <c r="Z74" s="19"/>
      <c r="AA74" s="19"/>
      <c r="AB74" s="22"/>
      <c r="AE74" s="19"/>
    </row>
    <row r="75" spans="1:31" ht="165">
      <c r="A75" s="16">
        <v>68</v>
      </c>
      <c r="B75" s="22"/>
      <c r="C75" s="22"/>
      <c r="D75" s="16" t="s">
        <v>210</v>
      </c>
      <c r="E75" s="16" t="s">
        <v>70</v>
      </c>
      <c r="F75" s="77"/>
      <c r="G75" s="31" t="s">
        <v>211</v>
      </c>
      <c r="H75" s="31" t="s">
        <v>31</v>
      </c>
      <c r="I75" s="19" t="s">
        <v>212</v>
      </c>
      <c r="J75" s="22" t="s">
        <v>33</v>
      </c>
      <c r="K75" s="22" t="s">
        <v>34</v>
      </c>
      <c r="L75" s="33">
        <v>1</v>
      </c>
      <c r="M75" s="19" t="s">
        <v>35</v>
      </c>
      <c r="O75" s="19" t="s">
        <v>36</v>
      </c>
      <c r="P75" s="19"/>
      <c r="Q75" s="19"/>
      <c r="R75" s="19"/>
      <c r="S75" s="19"/>
      <c r="T75" s="19"/>
      <c r="U75" s="19"/>
      <c r="V75" s="19">
        <v>1</v>
      </c>
      <c r="W75" s="19"/>
      <c r="Z75" s="19"/>
      <c r="AA75" s="19"/>
      <c r="AB75" s="22"/>
      <c r="AE75" s="19"/>
    </row>
    <row r="76" spans="1:31" ht="45">
      <c r="A76" s="16">
        <v>72</v>
      </c>
      <c r="B76" s="22"/>
      <c r="C76" s="22"/>
      <c r="D76" s="16" t="s">
        <v>213</v>
      </c>
      <c r="E76" s="16"/>
      <c r="F76" s="31"/>
      <c r="G76" s="31" t="s">
        <v>214</v>
      </c>
      <c r="H76" s="31" t="s">
        <v>19</v>
      </c>
      <c r="I76" s="19"/>
      <c r="J76" s="22" t="s">
        <v>20</v>
      </c>
      <c r="K76" s="22" t="s">
        <v>51</v>
      </c>
      <c r="L76" s="33">
        <v>5</v>
      </c>
      <c r="M76" s="16" t="s">
        <v>75</v>
      </c>
      <c r="N76" s="13" t="s">
        <v>215</v>
      </c>
      <c r="O76" s="16" t="s">
        <v>77</v>
      </c>
      <c r="P76" s="19"/>
      <c r="Q76" s="19"/>
      <c r="R76" s="19"/>
      <c r="S76" s="19"/>
      <c r="T76" s="19"/>
      <c r="U76" s="19"/>
      <c r="V76" s="19">
        <v>1</v>
      </c>
      <c r="W76" s="19"/>
      <c r="Z76" s="19"/>
      <c r="AA76" s="19"/>
      <c r="AB76" s="22"/>
      <c r="AE76" s="19"/>
    </row>
    <row r="77" spans="1:31" ht="45">
      <c r="A77" s="22">
        <v>74</v>
      </c>
      <c r="B77" s="22"/>
      <c r="C77" s="22"/>
      <c r="D77" s="22" t="s">
        <v>216</v>
      </c>
      <c r="E77" s="16"/>
      <c r="F77" s="31"/>
      <c r="G77" s="31" t="s">
        <v>43</v>
      </c>
      <c r="H77" s="31" t="s">
        <v>19</v>
      </c>
      <c r="I77" s="19"/>
      <c r="J77" s="22" t="s">
        <v>20</v>
      </c>
      <c r="K77" s="22" t="s">
        <v>21</v>
      </c>
      <c r="L77" s="33">
        <v>2</v>
      </c>
      <c r="M77" s="16" t="s">
        <v>75</v>
      </c>
      <c r="O77" s="16" t="s">
        <v>77</v>
      </c>
      <c r="P77" s="19"/>
      <c r="Q77" s="19"/>
      <c r="R77" s="19">
        <v>1</v>
      </c>
      <c r="S77" s="19"/>
      <c r="T77" s="19"/>
      <c r="U77" s="19"/>
      <c r="V77" s="19"/>
      <c r="W77" s="19"/>
      <c r="Z77" s="19"/>
      <c r="AA77" s="19"/>
      <c r="AB77" s="22"/>
      <c r="AE77" s="19"/>
    </row>
    <row r="78" spans="1:31" ht="105">
      <c r="A78" s="22">
        <v>75</v>
      </c>
      <c r="B78" s="22"/>
      <c r="C78" s="22"/>
      <c r="D78" s="22" t="s">
        <v>217</v>
      </c>
      <c r="E78" s="16"/>
      <c r="F78" s="31"/>
      <c r="G78" s="31" t="s">
        <v>218</v>
      </c>
      <c r="H78" s="31" t="s">
        <v>219</v>
      </c>
      <c r="I78" s="19" t="s">
        <v>220</v>
      </c>
      <c r="J78" s="22" t="s">
        <v>33</v>
      </c>
      <c r="K78" s="22" t="s">
        <v>34</v>
      </c>
      <c r="L78" s="33">
        <v>1</v>
      </c>
      <c r="M78" s="19" t="s">
        <v>115</v>
      </c>
      <c r="O78" s="16" t="s">
        <v>77</v>
      </c>
      <c r="P78" s="19"/>
      <c r="Q78" s="19"/>
      <c r="R78" s="19"/>
      <c r="S78" s="19"/>
      <c r="T78" s="19">
        <v>1</v>
      </c>
      <c r="U78" s="19"/>
      <c r="V78" s="19"/>
      <c r="W78" s="19"/>
      <c r="Z78" s="19"/>
      <c r="AA78" s="19"/>
      <c r="AB78" s="22"/>
      <c r="AE78" s="19"/>
    </row>
    <row r="79" spans="1:31" ht="409.5">
      <c r="A79" s="22">
        <v>76</v>
      </c>
      <c r="B79" s="22"/>
      <c r="C79" s="22"/>
      <c r="D79" s="22" t="s">
        <v>221</v>
      </c>
      <c r="E79" s="16"/>
      <c r="F79" s="31"/>
      <c r="G79" s="31" t="s">
        <v>74</v>
      </c>
      <c r="H79" s="31" t="s">
        <v>219</v>
      </c>
      <c r="I79" s="19" t="s">
        <v>222</v>
      </c>
      <c r="J79" s="22" t="s">
        <v>33</v>
      </c>
      <c r="K79" s="22" t="s">
        <v>34</v>
      </c>
      <c r="L79" s="33">
        <v>1</v>
      </c>
      <c r="M79" s="19" t="s">
        <v>35</v>
      </c>
      <c r="O79" s="19" t="s">
        <v>36</v>
      </c>
      <c r="P79" s="19"/>
      <c r="Q79" s="19"/>
      <c r="R79" s="19"/>
      <c r="S79" s="19"/>
      <c r="T79" s="19"/>
      <c r="U79" s="19">
        <v>1</v>
      </c>
      <c r="V79" s="19"/>
      <c r="W79" s="19"/>
      <c r="Z79" s="19"/>
      <c r="AA79" s="19"/>
      <c r="AB79" s="22"/>
      <c r="AE79" s="19"/>
    </row>
    <row r="80" spans="1:31" ht="409.5">
      <c r="A80" s="22">
        <v>77</v>
      </c>
      <c r="B80" s="22"/>
      <c r="C80" s="22"/>
      <c r="D80" s="22" t="s">
        <v>223</v>
      </c>
      <c r="E80" s="16"/>
      <c r="F80" s="31"/>
      <c r="G80" s="31" t="s">
        <v>74</v>
      </c>
      <c r="H80" s="31" t="s">
        <v>219</v>
      </c>
      <c r="I80" s="19" t="s">
        <v>224</v>
      </c>
      <c r="J80" s="22" t="s">
        <v>33</v>
      </c>
      <c r="K80" s="22" t="s">
        <v>34</v>
      </c>
      <c r="L80" s="33">
        <v>1</v>
      </c>
      <c r="M80" s="19" t="s">
        <v>35</v>
      </c>
      <c r="O80" s="19" t="s">
        <v>36</v>
      </c>
      <c r="P80" s="19"/>
      <c r="Q80" s="19"/>
      <c r="R80" s="19"/>
      <c r="S80" s="19"/>
      <c r="T80" s="19"/>
      <c r="U80" s="19">
        <v>1</v>
      </c>
      <c r="V80" s="19"/>
      <c r="W80" s="19"/>
      <c r="Z80" s="19"/>
      <c r="AA80" s="19"/>
      <c r="AB80" s="22"/>
      <c r="AE80" s="19"/>
    </row>
    <row r="81" spans="1:31" ht="270">
      <c r="A81" s="22">
        <v>78</v>
      </c>
      <c r="B81" s="22"/>
      <c r="C81" s="22"/>
      <c r="D81" s="22" t="s">
        <v>225</v>
      </c>
      <c r="E81" s="16"/>
      <c r="F81" s="31"/>
      <c r="G81" s="31" t="s">
        <v>226</v>
      </c>
      <c r="H81" s="31" t="s">
        <v>31</v>
      </c>
      <c r="I81" s="31" t="s">
        <v>227</v>
      </c>
      <c r="J81" s="22" t="s">
        <v>33</v>
      </c>
      <c r="K81" s="22" t="s">
        <v>34</v>
      </c>
      <c r="L81" s="33">
        <v>1</v>
      </c>
      <c r="M81" s="19" t="s">
        <v>35</v>
      </c>
      <c r="O81" s="19" t="s">
        <v>36</v>
      </c>
      <c r="P81" s="19"/>
      <c r="Q81" s="19"/>
      <c r="R81" s="19"/>
      <c r="S81" s="19"/>
      <c r="T81" s="19"/>
      <c r="U81" s="19"/>
      <c r="V81" s="19">
        <v>1</v>
      </c>
      <c r="W81" s="19"/>
      <c r="Z81" s="19"/>
      <c r="AA81" s="19"/>
      <c r="AB81" s="22"/>
      <c r="AE81" s="19"/>
    </row>
    <row r="82" spans="1:31" ht="30">
      <c r="A82" s="22">
        <v>79</v>
      </c>
      <c r="B82" s="22"/>
      <c r="C82" s="22"/>
      <c r="D82" s="22" t="s">
        <v>228</v>
      </c>
      <c r="E82" s="16"/>
      <c r="F82" s="31"/>
      <c r="G82" s="31" t="s">
        <v>226</v>
      </c>
      <c r="H82" s="31" t="s">
        <v>219</v>
      </c>
      <c r="I82" s="19"/>
      <c r="J82" s="22" t="s">
        <v>33</v>
      </c>
      <c r="K82" s="22" t="s">
        <v>34</v>
      </c>
      <c r="L82" s="33">
        <v>3</v>
      </c>
      <c r="M82" s="19" t="s">
        <v>75</v>
      </c>
      <c r="O82" s="16" t="s">
        <v>77</v>
      </c>
      <c r="P82" s="19"/>
      <c r="Q82" s="19"/>
      <c r="R82" s="19"/>
      <c r="S82" s="19"/>
      <c r="T82" s="19"/>
      <c r="U82" s="19"/>
      <c r="V82" s="19">
        <v>1</v>
      </c>
      <c r="W82" s="19"/>
      <c r="Z82" s="19"/>
      <c r="AA82" s="19"/>
      <c r="AB82" s="22"/>
      <c r="AE82" s="19"/>
    </row>
    <row r="83" spans="1:31">
      <c r="A83" s="19"/>
      <c r="B83" s="22"/>
      <c r="C83" s="22"/>
      <c r="D83" s="16"/>
      <c r="E83" s="16"/>
      <c r="F83" s="29"/>
      <c r="G83" s="29"/>
      <c r="H83" s="29"/>
      <c r="I83" s="19"/>
      <c r="J83" s="22"/>
      <c r="K83" s="22"/>
      <c r="L83" s="33"/>
      <c r="M83" s="19"/>
      <c r="O83" s="19"/>
      <c r="P83" s="19"/>
      <c r="Q83" s="19"/>
      <c r="R83" s="19"/>
      <c r="S83" s="19"/>
      <c r="T83" s="19"/>
      <c r="U83" s="19"/>
      <c r="V83" s="19"/>
      <c r="W83" s="19"/>
      <c r="Z83" s="19"/>
      <c r="AA83" s="19"/>
      <c r="AB83" s="22"/>
      <c r="AE83" s="19"/>
    </row>
    <row r="84" spans="1:31">
      <c r="A84" s="19"/>
      <c r="B84" s="22"/>
      <c r="C84" s="22"/>
      <c r="D84" s="16"/>
      <c r="E84" s="16"/>
      <c r="F84" s="31"/>
      <c r="G84" s="31"/>
      <c r="H84" s="31"/>
      <c r="I84" s="19"/>
      <c r="J84" s="22"/>
      <c r="K84" s="22"/>
      <c r="L84" s="33"/>
      <c r="M84" s="19"/>
      <c r="O84" s="19"/>
      <c r="P84" s="19"/>
      <c r="Q84" s="19"/>
      <c r="R84" s="19"/>
      <c r="S84" s="19"/>
      <c r="T84" s="19"/>
      <c r="U84" s="19"/>
      <c r="V84" s="19"/>
      <c r="W84" s="19"/>
      <c r="Z84" s="19"/>
      <c r="AA84" s="19"/>
      <c r="AB84" s="22"/>
      <c r="AE84" s="19"/>
    </row>
    <row r="85" spans="1:31">
      <c r="A85" s="19"/>
      <c r="B85" s="22"/>
      <c r="C85" s="22"/>
      <c r="D85" s="16"/>
      <c r="E85" s="16"/>
      <c r="F85" s="31"/>
      <c r="G85" s="31"/>
      <c r="H85" s="31"/>
      <c r="I85" s="19"/>
      <c r="J85" s="22"/>
      <c r="K85" s="22"/>
      <c r="L85" s="33"/>
      <c r="M85" s="19"/>
      <c r="O85" s="19"/>
      <c r="P85" s="19"/>
      <c r="Q85" s="19"/>
      <c r="R85" s="19"/>
      <c r="S85" s="19"/>
      <c r="T85" s="19"/>
      <c r="U85" s="19"/>
      <c r="V85" s="19"/>
      <c r="W85" s="19"/>
      <c r="Z85" s="19"/>
      <c r="AA85" s="19"/>
      <c r="AB85" s="22"/>
      <c r="AE85" s="19"/>
    </row>
    <row r="86" spans="1:31">
      <c r="A86" s="19"/>
      <c r="B86" s="22"/>
      <c r="C86" s="22"/>
      <c r="D86" s="16"/>
      <c r="E86" s="16"/>
      <c r="F86" s="31"/>
      <c r="G86" s="31"/>
      <c r="H86" s="31"/>
      <c r="I86" s="19"/>
      <c r="J86" s="22"/>
      <c r="K86" s="22"/>
      <c r="L86" s="33"/>
      <c r="M86" s="19"/>
      <c r="O86" s="19"/>
      <c r="P86" s="19"/>
      <c r="Q86" s="19"/>
      <c r="R86" s="19"/>
      <c r="S86" s="19"/>
      <c r="T86" s="19"/>
      <c r="U86" s="19"/>
      <c r="V86" s="19"/>
      <c r="W86" s="19"/>
      <c r="Z86" s="19"/>
      <c r="AA86" s="19"/>
      <c r="AB86" s="22"/>
      <c r="AE86" s="19"/>
    </row>
    <row r="87" spans="1:31">
      <c r="A87" s="19"/>
      <c r="B87" s="22"/>
      <c r="C87" s="22"/>
      <c r="D87" s="16"/>
      <c r="E87" s="16"/>
      <c r="F87" s="31"/>
      <c r="G87" s="31"/>
      <c r="H87" s="31"/>
      <c r="I87" s="19"/>
      <c r="J87" s="22"/>
      <c r="K87" s="22"/>
      <c r="L87" s="33"/>
      <c r="M87" s="19"/>
      <c r="O87" s="19"/>
      <c r="P87" s="19"/>
      <c r="Q87" s="19"/>
      <c r="R87" s="19"/>
      <c r="S87" s="19"/>
      <c r="T87" s="19"/>
      <c r="U87" s="19"/>
      <c r="V87" s="19"/>
      <c r="W87" s="19"/>
      <c r="Z87" s="19"/>
      <c r="AA87" s="19"/>
      <c r="AB87" s="22"/>
      <c r="AE87" s="19"/>
    </row>
    <row r="88" spans="1:31">
      <c r="A88" s="19"/>
      <c r="B88" s="22"/>
      <c r="C88" s="22"/>
      <c r="D88" s="16"/>
      <c r="E88" s="16"/>
      <c r="F88" s="31"/>
      <c r="G88" s="31"/>
      <c r="H88" s="31"/>
      <c r="I88" s="19"/>
      <c r="J88" s="22"/>
      <c r="K88" s="22"/>
      <c r="L88" s="33"/>
      <c r="M88" s="19"/>
      <c r="O88" s="19"/>
      <c r="P88" s="19"/>
      <c r="Q88" s="19"/>
      <c r="R88" s="19"/>
      <c r="S88" s="19"/>
      <c r="T88" s="19"/>
      <c r="U88" s="19"/>
      <c r="V88" s="19"/>
      <c r="W88" s="19"/>
      <c r="Z88" s="19"/>
      <c r="AA88" s="19"/>
      <c r="AB88" s="22"/>
      <c r="AE88" s="19"/>
    </row>
    <row r="89" spans="1:31">
      <c r="A89" s="19"/>
      <c r="B89" s="22"/>
      <c r="C89" s="22"/>
      <c r="D89" s="16"/>
      <c r="E89" s="16"/>
      <c r="F89" s="31"/>
      <c r="G89" s="31"/>
      <c r="H89" s="31"/>
      <c r="I89" s="19"/>
      <c r="J89" s="22"/>
      <c r="K89" s="22"/>
      <c r="L89" s="33"/>
      <c r="M89" s="19"/>
      <c r="O89" s="19"/>
      <c r="P89" s="19"/>
      <c r="Q89" s="19"/>
      <c r="R89" s="19"/>
      <c r="S89" s="19"/>
      <c r="T89" s="19"/>
      <c r="U89" s="19"/>
      <c r="V89" s="19"/>
      <c r="W89" s="19"/>
      <c r="Z89" s="19"/>
      <c r="AA89" s="19"/>
      <c r="AB89" s="22"/>
      <c r="AE89" s="19"/>
    </row>
    <row r="90" spans="1:31">
      <c r="A90" s="19"/>
      <c r="B90" s="22"/>
      <c r="C90" s="22"/>
      <c r="D90" s="16"/>
      <c r="E90" s="16"/>
      <c r="F90" s="31"/>
      <c r="G90" s="31"/>
      <c r="H90" s="31"/>
      <c r="I90" s="19"/>
      <c r="J90" s="22"/>
      <c r="K90" s="22"/>
      <c r="L90" s="33"/>
      <c r="M90" s="19"/>
      <c r="O90" s="19"/>
      <c r="P90" s="19"/>
      <c r="Q90" s="19"/>
      <c r="R90" s="19"/>
      <c r="S90" s="19"/>
      <c r="T90" s="19"/>
      <c r="U90" s="19"/>
      <c r="V90" s="19"/>
      <c r="W90" s="19"/>
      <c r="Z90" s="19"/>
      <c r="AA90" s="19"/>
      <c r="AB90" s="22"/>
      <c r="AE90" s="19"/>
    </row>
    <row r="91" spans="1:31">
      <c r="A91" s="19"/>
      <c r="B91" s="22"/>
      <c r="C91" s="22"/>
      <c r="D91" s="16"/>
      <c r="E91" s="16"/>
      <c r="F91" s="31"/>
      <c r="G91" s="31"/>
      <c r="H91" s="31"/>
      <c r="I91" s="19"/>
      <c r="J91" s="22"/>
      <c r="K91" s="22"/>
      <c r="L91" s="33"/>
      <c r="M91" s="19"/>
      <c r="O91" s="19"/>
      <c r="P91" s="19"/>
      <c r="Q91" s="19"/>
      <c r="R91" s="19"/>
      <c r="S91" s="19"/>
      <c r="T91" s="19"/>
      <c r="U91" s="19"/>
      <c r="V91" s="19"/>
      <c r="W91" s="19"/>
      <c r="Z91" s="19"/>
      <c r="AA91" s="19"/>
      <c r="AB91" s="22"/>
      <c r="AE91" s="19"/>
    </row>
    <row r="92" spans="1:31">
      <c r="A92" s="19"/>
      <c r="B92" s="22"/>
      <c r="C92" s="22"/>
      <c r="D92" s="16"/>
      <c r="E92" s="16"/>
      <c r="F92" s="31"/>
      <c r="G92" s="31"/>
      <c r="H92" s="31"/>
      <c r="I92" s="19"/>
      <c r="J92" s="22"/>
      <c r="K92" s="22"/>
      <c r="L92" s="33"/>
      <c r="M92" s="19"/>
      <c r="O92" s="19"/>
      <c r="P92" s="19"/>
      <c r="Q92" s="19"/>
      <c r="R92" s="19"/>
      <c r="S92" s="19"/>
      <c r="T92" s="19"/>
      <c r="U92" s="19"/>
      <c r="V92" s="19"/>
      <c r="W92" s="19"/>
      <c r="Z92" s="19"/>
      <c r="AA92" s="19"/>
      <c r="AB92" s="22"/>
      <c r="AE92" s="19"/>
    </row>
    <row r="93" spans="1:31">
      <c r="A93" s="19"/>
      <c r="B93" s="22"/>
      <c r="C93" s="22"/>
      <c r="D93" s="16"/>
      <c r="E93" s="16"/>
      <c r="F93" s="31"/>
      <c r="G93" s="31"/>
      <c r="H93" s="31"/>
      <c r="I93" s="19"/>
      <c r="J93" s="22"/>
      <c r="K93" s="22"/>
      <c r="L93" s="33"/>
      <c r="M93" s="19"/>
      <c r="O93" s="19"/>
      <c r="P93" s="19"/>
      <c r="Q93" s="19"/>
      <c r="R93" s="19"/>
      <c r="S93" s="19"/>
      <c r="T93" s="19"/>
      <c r="U93" s="19"/>
      <c r="V93" s="19"/>
      <c r="W93" s="19"/>
      <c r="Z93" s="19"/>
      <c r="AA93" s="19"/>
      <c r="AB93" s="22"/>
      <c r="AE93" s="19"/>
    </row>
    <row r="94" spans="1:31">
      <c r="A94" s="19"/>
      <c r="B94" s="22"/>
      <c r="C94" s="22"/>
      <c r="D94" s="16"/>
      <c r="E94" s="16"/>
      <c r="F94" s="31"/>
      <c r="G94" s="31"/>
      <c r="H94" s="31"/>
      <c r="I94" s="19"/>
      <c r="J94" s="22"/>
      <c r="K94" s="22"/>
      <c r="L94" s="33"/>
      <c r="M94" s="19"/>
      <c r="O94" s="19"/>
      <c r="P94" s="19"/>
      <c r="Q94" s="19"/>
      <c r="R94" s="19"/>
      <c r="S94" s="19"/>
      <c r="T94" s="19"/>
      <c r="U94" s="19"/>
      <c r="V94" s="19"/>
      <c r="W94" s="19"/>
      <c r="Z94" s="19"/>
      <c r="AA94" s="19"/>
      <c r="AB94" s="22"/>
      <c r="AE94" s="19"/>
    </row>
    <row r="95" spans="1:31">
      <c r="A95" s="19"/>
      <c r="B95" s="22"/>
      <c r="C95" s="22"/>
      <c r="D95" s="16"/>
      <c r="E95" s="16"/>
      <c r="F95" s="31"/>
      <c r="G95" s="31"/>
      <c r="H95" s="31"/>
      <c r="I95" s="19"/>
      <c r="J95" s="22"/>
      <c r="K95" s="22"/>
      <c r="L95" s="33"/>
      <c r="M95" s="19"/>
      <c r="O95" s="19"/>
      <c r="P95" s="19"/>
      <c r="Q95" s="19"/>
      <c r="R95" s="19"/>
      <c r="S95" s="19"/>
      <c r="T95" s="19"/>
      <c r="U95" s="19"/>
      <c r="V95" s="19"/>
      <c r="W95" s="19"/>
      <c r="Z95" s="19"/>
      <c r="AA95" s="19"/>
      <c r="AB95" s="22"/>
      <c r="AE95" s="19"/>
    </row>
    <row r="96" spans="1:31">
      <c r="A96" s="19"/>
      <c r="B96" s="22"/>
      <c r="C96" s="22"/>
      <c r="D96" s="16"/>
      <c r="E96" s="16"/>
      <c r="F96" s="31"/>
      <c r="G96" s="31"/>
      <c r="H96" s="31"/>
      <c r="I96" s="19"/>
      <c r="J96" s="22"/>
      <c r="K96" s="22"/>
      <c r="L96" s="33"/>
      <c r="M96" s="19"/>
      <c r="O96" s="19"/>
      <c r="P96" s="19"/>
      <c r="Q96" s="19"/>
      <c r="R96" s="19"/>
      <c r="S96" s="19"/>
      <c r="T96" s="19"/>
      <c r="U96" s="19"/>
      <c r="V96" s="19"/>
      <c r="W96" s="19"/>
      <c r="Z96" s="19"/>
      <c r="AA96" s="19"/>
      <c r="AB96" s="22"/>
      <c r="AE96" s="19"/>
    </row>
    <row r="97" spans="1:31">
      <c r="A97" s="19"/>
      <c r="B97" s="22"/>
      <c r="C97" s="22"/>
      <c r="D97" s="16"/>
      <c r="E97" s="16"/>
      <c r="F97" s="31"/>
      <c r="G97" s="31"/>
      <c r="H97" s="31"/>
      <c r="I97" s="19"/>
      <c r="J97" s="22"/>
      <c r="K97" s="22"/>
      <c r="L97" s="33"/>
      <c r="M97" s="19"/>
      <c r="O97" s="19"/>
      <c r="P97" s="19"/>
      <c r="Q97" s="19"/>
      <c r="R97" s="19"/>
      <c r="S97" s="19"/>
      <c r="T97" s="19"/>
      <c r="U97" s="19"/>
      <c r="V97" s="19"/>
      <c r="W97" s="19"/>
      <c r="Z97" s="19"/>
      <c r="AA97" s="19"/>
      <c r="AB97" s="22"/>
      <c r="AE97" s="19"/>
    </row>
    <row r="98" spans="1:31">
      <c r="A98" s="19"/>
      <c r="B98" s="22"/>
      <c r="C98" s="22"/>
      <c r="D98" s="16"/>
      <c r="E98" s="16"/>
      <c r="F98" s="31"/>
      <c r="G98" s="31"/>
      <c r="H98" s="31"/>
      <c r="I98" s="19"/>
      <c r="J98" s="22"/>
      <c r="K98" s="22"/>
      <c r="L98" s="33"/>
      <c r="M98" s="19"/>
      <c r="O98" s="19"/>
      <c r="P98" s="19"/>
      <c r="Q98" s="19"/>
      <c r="R98" s="19"/>
      <c r="S98" s="19"/>
      <c r="T98" s="19"/>
      <c r="U98" s="19"/>
      <c r="V98" s="19"/>
      <c r="W98" s="19"/>
      <c r="Z98" s="19"/>
      <c r="AA98" s="19"/>
      <c r="AB98" s="22"/>
      <c r="AE98" s="19"/>
    </row>
    <row r="99" spans="1:31">
      <c r="A99" s="19"/>
      <c r="B99" s="22"/>
      <c r="C99" s="22"/>
      <c r="D99" s="16"/>
      <c r="E99" s="16"/>
      <c r="F99" s="31"/>
      <c r="G99" s="31"/>
      <c r="H99" s="31"/>
      <c r="I99" s="19"/>
      <c r="J99" s="22"/>
      <c r="K99" s="22"/>
      <c r="L99" s="33"/>
      <c r="M99" s="19"/>
      <c r="O99" s="19"/>
      <c r="P99" s="19"/>
      <c r="Q99" s="19"/>
      <c r="R99" s="19"/>
      <c r="S99" s="19"/>
      <c r="T99" s="19"/>
      <c r="U99" s="19"/>
      <c r="V99" s="19"/>
      <c r="W99" s="19"/>
      <c r="Z99" s="19"/>
      <c r="AA99" s="19"/>
      <c r="AB99" s="22"/>
      <c r="AE99" s="19"/>
    </row>
    <row r="100" spans="1:31">
      <c r="A100" s="19"/>
      <c r="B100" s="22"/>
      <c r="C100" s="22"/>
      <c r="D100" s="16"/>
      <c r="E100" s="16"/>
      <c r="F100" s="31"/>
      <c r="G100" s="31"/>
      <c r="H100" s="31"/>
      <c r="I100" s="19"/>
      <c r="J100" s="22"/>
      <c r="K100" s="22"/>
      <c r="L100" s="33"/>
      <c r="M100" s="19"/>
      <c r="O100" s="19"/>
      <c r="P100" s="19"/>
      <c r="Q100" s="19"/>
      <c r="R100" s="19"/>
      <c r="S100" s="19"/>
      <c r="T100" s="19"/>
      <c r="U100" s="19"/>
      <c r="V100" s="19"/>
      <c r="W100" s="19"/>
      <c r="Z100" s="19"/>
      <c r="AA100" s="19"/>
      <c r="AB100" s="22"/>
      <c r="AE100" s="19"/>
    </row>
    <row r="101" spans="1:31">
      <c r="A101" s="19"/>
      <c r="B101" s="22"/>
      <c r="C101" s="22"/>
      <c r="D101" s="16"/>
      <c r="E101" s="16"/>
      <c r="F101" s="31"/>
      <c r="G101" s="31"/>
      <c r="H101" s="31"/>
      <c r="I101" s="19"/>
      <c r="J101" s="22"/>
      <c r="K101" s="22"/>
      <c r="L101" s="33"/>
      <c r="M101" s="19"/>
      <c r="O101" s="19"/>
      <c r="P101" s="19"/>
      <c r="Q101" s="19"/>
      <c r="R101" s="19"/>
      <c r="S101" s="19"/>
      <c r="T101" s="19"/>
      <c r="U101" s="19"/>
      <c r="V101" s="19"/>
      <c r="W101" s="19"/>
      <c r="Z101" s="19"/>
      <c r="AA101" s="19"/>
      <c r="AB101" s="22"/>
      <c r="AE101" s="19"/>
    </row>
    <row r="102" spans="1:31">
      <c r="A102" s="19"/>
      <c r="B102" s="22"/>
      <c r="C102" s="22"/>
      <c r="D102" s="16"/>
      <c r="E102" s="16"/>
      <c r="F102" s="31"/>
      <c r="G102" s="31"/>
      <c r="H102" s="31"/>
      <c r="I102" s="19"/>
      <c r="J102" s="22"/>
      <c r="K102" s="22"/>
      <c r="L102" s="33"/>
      <c r="M102" s="19"/>
      <c r="O102" s="19"/>
      <c r="P102" s="19"/>
      <c r="Q102" s="19"/>
      <c r="R102" s="19"/>
      <c r="S102" s="19"/>
      <c r="T102" s="19"/>
      <c r="U102" s="19"/>
      <c r="V102" s="19"/>
      <c r="W102" s="19"/>
      <c r="Z102" s="19"/>
      <c r="AA102" s="19"/>
      <c r="AB102" s="22"/>
      <c r="AE102" s="19"/>
    </row>
    <row r="103" spans="1:31">
      <c r="A103" s="19"/>
      <c r="B103" s="22"/>
      <c r="C103" s="22"/>
      <c r="D103" s="16"/>
      <c r="E103" s="16"/>
      <c r="F103" s="31"/>
      <c r="G103" s="31"/>
      <c r="H103" s="31"/>
      <c r="I103" s="19"/>
      <c r="J103" s="22"/>
      <c r="K103" s="22"/>
      <c r="L103" s="33"/>
      <c r="M103" s="19"/>
      <c r="O103" s="19"/>
      <c r="P103" s="19"/>
      <c r="Q103" s="19"/>
      <c r="R103" s="19"/>
      <c r="S103" s="19"/>
      <c r="T103" s="19"/>
      <c r="U103" s="19"/>
      <c r="V103" s="19"/>
      <c r="W103" s="19"/>
      <c r="Z103" s="19"/>
      <c r="AA103" s="19"/>
      <c r="AB103" s="22"/>
      <c r="AE103" s="19"/>
    </row>
    <row r="104" spans="1:31">
      <c r="A104" s="19"/>
      <c r="B104" s="22"/>
      <c r="C104" s="22"/>
      <c r="D104" s="19"/>
      <c r="E104" s="19"/>
      <c r="F104" s="31"/>
      <c r="G104" s="31"/>
      <c r="H104" s="31"/>
      <c r="I104" s="19"/>
      <c r="J104" s="22"/>
      <c r="K104" s="22"/>
      <c r="L104" s="33"/>
      <c r="M104" s="19"/>
      <c r="O104" s="19"/>
      <c r="P104" s="19"/>
      <c r="Q104" s="19"/>
      <c r="R104" s="19"/>
      <c r="S104" s="19"/>
      <c r="T104" s="19"/>
      <c r="U104" s="19"/>
      <c r="V104" s="19"/>
      <c r="W104" s="19"/>
      <c r="Z104" s="19"/>
      <c r="AA104" s="19"/>
      <c r="AB104" s="22"/>
      <c r="AE104" s="19"/>
    </row>
    <row r="105" spans="1:31">
      <c r="A105" s="19"/>
      <c r="B105" s="22"/>
      <c r="C105" s="22"/>
      <c r="D105" s="19"/>
      <c r="E105" s="19"/>
      <c r="F105" s="31"/>
      <c r="G105" s="31"/>
      <c r="H105" s="31"/>
      <c r="I105" s="19"/>
      <c r="J105" s="22"/>
      <c r="K105" s="22"/>
      <c r="L105" s="33"/>
      <c r="M105" s="19"/>
      <c r="O105" s="19"/>
      <c r="P105" s="19"/>
      <c r="Q105" s="19"/>
      <c r="R105" s="19"/>
      <c r="S105" s="19"/>
      <c r="T105" s="19"/>
      <c r="U105" s="19"/>
      <c r="V105" s="19"/>
      <c r="W105" s="19"/>
      <c r="Z105" s="19"/>
      <c r="AA105" s="19"/>
      <c r="AB105" s="22"/>
      <c r="AE105" s="19"/>
    </row>
    <row r="106" spans="1:31">
      <c r="A106" s="19"/>
      <c r="B106" s="22"/>
      <c r="C106" s="22"/>
      <c r="D106" s="19"/>
      <c r="E106" s="19"/>
      <c r="F106" s="31"/>
      <c r="G106" s="31"/>
      <c r="H106" s="31"/>
      <c r="I106" s="19"/>
      <c r="J106" s="22"/>
      <c r="K106" s="22"/>
      <c r="L106" s="33"/>
      <c r="M106" s="19"/>
      <c r="O106" s="19"/>
      <c r="P106" s="19"/>
      <c r="Q106" s="19"/>
      <c r="R106" s="19"/>
      <c r="S106" s="19"/>
      <c r="T106" s="19"/>
      <c r="U106" s="19"/>
      <c r="V106" s="19"/>
      <c r="W106" s="19"/>
      <c r="Z106" s="19"/>
      <c r="AA106" s="19"/>
      <c r="AB106" s="22"/>
      <c r="AE106" s="19"/>
    </row>
    <row r="107" spans="1:31">
      <c r="A107" s="19"/>
      <c r="B107" s="22"/>
      <c r="C107" s="22"/>
      <c r="D107" s="19"/>
      <c r="E107" s="19"/>
      <c r="F107" s="31"/>
      <c r="G107" s="31"/>
      <c r="H107" s="31"/>
      <c r="I107" s="19"/>
      <c r="J107" s="22"/>
      <c r="K107" s="22"/>
      <c r="L107" s="33"/>
      <c r="M107" s="19"/>
      <c r="O107" s="19"/>
      <c r="P107" s="19"/>
      <c r="Q107" s="19"/>
      <c r="R107" s="19"/>
      <c r="S107" s="19"/>
      <c r="T107" s="19"/>
      <c r="U107" s="19"/>
      <c r="V107" s="19"/>
      <c r="W107" s="19"/>
      <c r="Z107" s="19"/>
      <c r="AA107" s="19"/>
      <c r="AB107" s="22"/>
      <c r="AE107" s="19"/>
    </row>
    <row r="108" spans="1:31">
      <c r="A108" s="19"/>
      <c r="B108" s="22"/>
      <c r="C108" s="22"/>
      <c r="D108" s="19"/>
      <c r="E108" s="19"/>
      <c r="F108" s="31"/>
      <c r="G108" s="31"/>
      <c r="H108" s="31"/>
      <c r="I108" s="19"/>
      <c r="J108" s="22"/>
      <c r="K108" s="22"/>
      <c r="L108" s="33"/>
      <c r="M108" s="19"/>
      <c r="O108" s="19"/>
      <c r="P108" s="19"/>
      <c r="Q108" s="19"/>
      <c r="R108" s="19"/>
      <c r="S108" s="19"/>
      <c r="T108" s="19"/>
      <c r="U108" s="19"/>
      <c r="V108" s="19"/>
      <c r="W108" s="19"/>
      <c r="Z108" s="19"/>
      <c r="AA108" s="19"/>
      <c r="AB108" s="22"/>
      <c r="AE108" s="19"/>
    </row>
    <row r="109" spans="1:31">
      <c r="A109" s="19"/>
      <c r="B109" s="22"/>
      <c r="C109" s="22"/>
      <c r="D109" s="19"/>
      <c r="E109" s="19"/>
      <c r="F109" s="31"/>
      <c r="G109" s="31"/>
      <c r="H109" s="31"/>
      <c r="I109" s="19"/>
      <c r="J109" s="22"/>
      <c r="K109" s="22"/>
      <c r="L109" s="33"/>
      <c r="M109" s="19"/>
      <c r="O109" s="19"/>
      <c r="P109" s="19"/>
      <c r="Q109" s="19"/>
      <c r="R109" s="19"/>
      <c r="S109" s="19"/>
      <c r="T109" s="19"/>
      <c r="U109" s="19"/>
      <c r="V109" s="19"/>
      <c r="W109" s="19"/>
      <c r="Z109" s="19"/>
      <c r="AA109" s="19"/>
      <c r="AB109" s="22"/>
      <c r="AE109" s="19"/>
    </row>
    <row r="110" spans="1:31">
      <c r="A110" s="19"/>
      <c r="B110" s="22"/>
      <c r="C110" s="22"/>
      <c r="D110" s="19"/>
      <c r="E110" s="19"/>
      <c r="F110" s="31"/>
      <c r="G110" s="31"/>
      <c r="H110" s="31"/>
      <c r="I110" s="19"/>
      <c r="J110" s="22"/>
      <c r="K110" s="22"/>
      <c r="L110" s="33"/>
      <c r="M110" s="19"/>
      <c r="O110" s="19"/>
      <c r="P110" s="19"/>
      <c r="Q110" s="19"/>
      <c r="R110" s="19"/>
      <c r="S110" s="19"/>
      <c r="T110" s="19"/>
      <c r="U110" s="19"/>
      <c r="V110" s="19"/>
      <c r="W110" s="19"/>
      <c r="Z110" s="19"/>
      <c r="AA110" s="19"/>
      <c r="AB110" s="22"/>
      <c r="AE110" s="19"/>
    </row>
    <row r="111" spans="1:31">
      <c r="A111" s="19"/>
      <c r="B111" s="22"/>
      <c r="C111" s="22"/>
      <c r="D111" s="19"/>
      <c r="E111" s="19"/>
      <c r="F111" s="31"/>
      <c r="G111" s="31"/>
      <c r="H111" s="31"/>
      <c r="I111" s="19"/>
      <c r="J111" s="22"/>
      <c r="K111" s="22"/>
      <c r="L111" s="33"/>
      <c r="M111" s="19"/>
      <c r="O111" s="19"/>
      <c r="P111" s="19"/>
      <c r="Q111" s="19"/>
      <c r="R111" s="19"/>
      <c r="S111" s="19"/>
      <c r="T111" s="19"/>
      <c r="U111" s="19"/>
      <c r="V111" s="19"/>
      <c r="W111" s="19"/>
      <c r="Z111" s="19"/>
      <c r="AA111" s="19"/>
      <c r="AB111" s="22"/>
      <c r="AE111" s="19"/>
    </row>
    <row r="112" spans="1:31">
      <c r="A112" s="19"/>
      <c r="B112" s="22"/>
      <c r="C112" s="22"/>
      <c r="D112" s="19"/>
      <c r="E112" s="19"/>
      <c r="F112" s="31"/>
      <c r="G112" s="31"/>
      <c r="H112" s="31"/>
      <c r="I112" s="19"/>
      <c r="J112" s="22"/>
      <c r="K112" s="22"/>
      <c r="L112" s="33"/>
      <c r="M112" s="19"/>
      <c r="O112" s="19"/>
      <c r="P112" s="19"/>
      <c r="Q112" s="19"/>
      <c r="R112" s="19"/>
      <c r="S112" s="19"/>
      <c r="T112" s="19"/>
      <c r="U112" s="19"/>
      <c r="V112" s="19"/>
      <c r="W112" s="19"/>
      <c r="Z112" s="19"/>
      <c r="AA112" s="19"/>
      <c r="AB112" s="22"/>
      <c r="AE112" s="19"/>
    </row>
    <row r="113" spans="1:31">
      <c r="A113" s="19"/>
      <c r="B113" s="22"/>
      <c r="C113" s="22"/>
      <c r="D113" s="19"/>
      <c r="E113" s="19"/>
      <c r="F113" s="31"/>
      <c r="G113" s="31"/>
      <c r="H113" s="31"/>
      <c r="I113" s="19"/>
      <c r="J113" s="22"/>
      <c r="K113" s="22"/>
      <c r="L113" s="33"/>
      <c r="M113" s="19"/>
      <c r="O113" s="19"/>
      <c r="P113" s="19"/>
      <c r="Q113" s="19"/>
      <c r="R113" s="19"/>
      <c r="S113" s="19"/>
      <c r="T113" s="19"/>
      <c r="U113" s="19"/>
      <c r="V113" s="19"/>
      <c r="W113" s="19"/>
      <c r="Z113" s="19"/>
      <c r="AA113" s="19"/>
      <c r="AB113" s="22"/>
      <c r="AE113" s="19"/>
    </row>
    <row r="114" spans="1:31">
      <c r="A114" s="19"/>
      <c r="B114" s="22"/>
      <c r="C114" s="22"/>
      <c r="D114" s="19"/>
      <c r="E114" s="19"/>
      <c r="F114" s="31"/>
      <c r="G114" s="31"/>
      <c r="H114" s="31"/>
      <c r="I114" s="19"/>
      <c r="J114" s="22"/>
      <c r="K114" s="22"/>
      <c r="L114" s="33"/>
      <c r="M114" s="19"/>
      <c r="O114" s="19"/>
      <c r="P114" s="19"/>
      <c r="Q114" s="19"/>
      <c r="R114" s="19"/>
      <c r="S114" s="19"/>
      <c r="T114" s="19"/>
      <c r="U114" s="19"/>
      <c r="V114" s="19"/>
      <c r="W114" s="19"/>
      <c r="Z114" s="19"/>
      <c r="AA114" s="19"/>
      <c r="AB114" s="22"/>
      <c r="AE114" s="19"/>
    </row>
    <row r="115" spans="1:31">
      <c r="A115" s="19"/>
      <c r="B115" s="22"/>
      <c r="C115" s="22"/>
      <c r="D115" s="19"/>
      <c r="E115" s="19"/>
      <c r="F115" s="31"/>
      <c r="G115" s="31"/>
      <c r="H115" s="31"/>
      <c r="I115" s="19"/>
      <c r="J115" s="22"/>
      <c r="K115" s="22"/>
      <c r="L115" s="33"/>
      <c r="M115" s="19"/>
      <c r="O115" s="19"/>
      <c r="P115" s="19"/>
      <c r="Q115" s="19"/>
      <c r="R115" s="19"/>
      <c r="S115" s="19"/>
      <c r="T115" s="19"/>
      <c r="U115" s="19"/>
      <c r="V115" s="19"/>
      <c r="W115" s="19"/>
      <c r="Z115" s="19"/>
      <c r="AA115" s="19"/>
      <c r="AB115" s="22"/>
      <c r="AE115" s="19"/>
    </row>
    <row r="116" spans="1:31">
      <c r="A116" s="19"/>
      <c r="B116" s="22"/>
      <c r="C116" s="22"/>
      <c r="D116" s="19"/>
      <c r="E116" s="19"/>
      <c r="F116" s="31"/>
      <c r="G116" s="31"/>
      <c r="H116" s="31"/>
      <c r="I116" s="19"/>
      <c r="J116" s="22"/>
      <c r="K116" s="22"/>
      <c r="L116" s="33"/>
      <c r="M116" s="19"/>
      <c r="O116" s="19"/>
      <c r="P116" s="19"/>
      <c r="Q116" s="19"/>
      <c r="R116" s="19"/>
      <c r="S116" s="19"/>
      <c r="T116" s="19"/>
      <c r="U116" s="19"/>
      <c r="V116" s="19"/>
      <c r="W116" s="19"/>
      <c r="Z116" s="19"/>
      <c r="AA116" s="19"/>
      <c r="AB116" s="22"/>
      <c r="AE116" s="19"/>
    </row>
    <row r="117" spans="1:31">
      <c r="A117" s="19"/>
      <c r="B117" s="22"/>
      <c r="C117" s="22"/>
      <c r="D117" s="19"/>
      <c r="E117" s="19"/>
      <c r="F117" s="31"/>
      <c r="G117" s="31"/>
      <c r="H117" s="31"/>
      <c r="I117" s="19"/>
      <c r="J117" s="22"/>
      <c r="K117" s="22"/>
      <c r="L117" s="33"/>
      <c r="M117" s="19"/>
      <c r="O117" s="19"/>
      <c r="P117" s="19"/>
      <c r="Q117" s="19"/>
      <c r="R117" s="19"/>
      <c r="S117" s="19"/>
      <c r="T117" s="19"/>
      <c r="U117" s="19"/>
      <c r="V117" s="19"/>
      <c r="W117" s="19"/>
      <c r="Z117" s="19"/>
      <c r="AA117" s="19"/>
      <c r="AB117" s="22"/>
      <c r="AE117" s="19"/>
    </row>
    <row r="118" spans="1:31">
      <c r="A118" s="19"/>
      <c r="B118" s="22"/>
      <c r="C118" s="22"/>
      <c r="D118" s="19"/>
      <c r="E118" s="19"/>
      <c r="F118" s="31"/>
      <c r="G118" s="31"/>
      <c r="H118" s="31"/>
      <c r="I118" s="19"/>
      <c r="J118" s="22"/>
      <c r="K118" s="22"/>
      <c r="L118" s="33"/>
      <c r="M118" s="19"/>
      <c r="O118" s="19"/>
      <c r="P118" s="19"/>
      <c r="Q118" s="19"/>
      <c r="R118" s="19"/>
      <c r="S118" s="19"/>
      <c r="T118" s="19"/>
      <c r="U118" s="19"/>
      <c r="V118" s="19"/>
      <c r="W118" s="19"/>
      <c r="Z118" s="19"/>
      <c r="AA118" s="19"/>
      <c r="AB118" s="22"/>
      <c r="AE118" s="19"/>
    </row>
    <row r="119" spans="1:31">
      <c r="A119" s="19"/>
      <c r="B119" s="22"/>
      <c r="C119" s="22"/>
      <c r="D119" s="19"/>
      <c r="E119" s="19"/>
      <c r="F119" s="31"/>
      <c r="G119" s="31"/>
      <c r="H119" s="31"/>
      <c r="I119" s="19"/>
      <c r="J119" s="22"/>
      <c r="K119" s="22"/>
      <c r="L119" s="33"/>
      <c r="M119" s="19"/>
      <c r="O119" s="19"/>
      <c r="P119" s="19"/>
      <c r="Q119" s="19"/>
      <c r="R119" s="19"/>
      <c r="S119" s="19"/>
      <c r="T119" s="19"/>
      <c r="U119" s="19"/>
      <c r="V119" s="19"/>
      <c r="W119" s="19"/>
      <c r="Z119" s="19"/>
      <c r="AA119" s="19"/>
      <c r="AB119" s="22"/>
      <c r="AE119" s="19"/>
    </row>
    <row r="120" spans="1:31">
      <c r="A120" s="19"/>
      <c r="B120" s="22"/>
      <c r="C120" s="22"/>
      <c r="D120" s="19"/>
      <c r="E120" s="19"/>
      <c r="F120" s="31"/>
      <c r="G120" s="31"/>
      <c r="H120" s="31"/>
      <c r="I120" s="19"/>
      <c r="J120" s="22"/>
      <c r="K120" s="22"/>
      <c r="L120" s="33"/>
      <c r="M120" s="19"/>
      <c r="O120" s="19"/>
      <c r="P120" s="19"/>
      <c r="Q120" s="19"/>
      <c r="R120" s="19"/>
      <c r="S120" s="19"/>
      <c r="T120" s="19"/>
      <c r="U120" s="19"/>
      <c r="V120" s="19"/>
      <c r="W120" s="19"/>
      <c r="Z120" s="19"/>
      <c r="AA120" s="19"/>
      <c r="AB120" s="22"/>
      <c r="AE120" s="19"/>
    </row>
    <row r="121" spans="1:31">
      <c r="A121" s="19"/>
      <c r="B121" s="22"/>
      <c r="C121" s="22"/>
      <c r="D121" s="19"/>
      <c r="E121" s="19"/>
      <c r="F121" s="31"/>
      <c r="G121" s="31"/>
      <c r="H121" s="31"/>
      <c r="I121" s="19"/>
      <c r="J121" s="22"/>
      <c r="K121" s="22"/>
      <c r="L121" s="33"/>
      <c r="M121" s="19"/>
      <c r="O121" s="19"/>
      <c r="P121" s="19"/>
      <c r="Q121" s="19"/>
      <c r="R121" s="19"/>
      <c r="S121" s="19"/>
      <c r="T121" s="19"/>
      <c r="U121" s="19"/>
      <c r="V121" s="19"/>
      <c r="W121" s="19"/>
      <c r="Z121" s="19"/>
      <c r="AA121" s="19"/>
      <c r="AB121" s="22"/>
      <c r="AE121" s="19"/>
    </row>
    <row r="122" spans="1:31">
      <c r="A122" s="19"/>
      <c r="B122" s="22"/>
      <c r="C122" s="22"/>
      <c r="D122" s="19"/>
      <c r="E122" s="19"/>
      <c r="F122" s="31"/>
      <c r="G122" s="31"/>
      <c r="H122" s="31"/>
      <c r="I122" s="19"/>
      <c r="J122" s="22"/>
      <c r="K122" s="22"/>
      <c r="L122" s="33"/>
      <c r="M122" s="19"/>
      <c r="O122" s="19"/>
      <c r="P122" s="19"/>
      <c r="Q122" s="19"/>
      <c r="R122" s="19"/>
      <c r="S122" s="19"/>
      <c r="T122" s="19"/>
      <c r="U122" s="19"/>
      <c r="V122" s="19"/>
      <c r="W122" s="19"/>
      <c r="Z122" s="19"/>
      <c r="AA122" s="19"/>
      <c r="AB122" s="22"/>
      <c r="AE122" s="19"/>
    </row>
    <row r="123" spans="1:31">
      <c r="A123" s="19"/>
      <c r="B123" s="22"/>
      <c r="C123" s="22"/>
      <c r="D123" s="19"/>
      <c r="E123" s="19"/>
      <c r="F123" s="31"/>
      <c r="G123" s="31"/>
      <c r="H123" s="31"/>
      <c r="I123" s="19"/>
      <c r="J123" s="22"/>
      <c r="K123" s="22"/>
      <c r="L123" s="33"/>
      <c r="M123" s="19"/>
      <c r="O123" s="19"/>
      <c r="P123" s="19"/>
      <c r="Q123" s="19"/>
      <c r="R123" s="19"/>
      <c r="S123" s="19"/>
      <c r="T123" s="19"/>
      <c r="U123" s="19"/>
      <c r="V123" s="19"/>
      <c r="W123" s="19"/>
      <c r="Z123" s="19"/>
      <c r="AA123" s="19"/>
      <c r="AB123" s="22"/>
      <c r="AE123" s="19"/>
    </row>
    <row r="124" spans="1:31">
      <c r="A124" s="19"/>
      <c r="B124" s="22"/>
      <c r="C124" s="22"/>
      <c r="D124" s="19"/>
      <c r="E124" s="19"/>
      <c r="F124" s="31"/>
      <c r="G124" s="31"/>
      <c r="H124" s="31"/>
      <c r="I124" s="19"/>
      <c r="J124" s="22"/>
      <c r="K124" s="22"/>
      <c r="L124" s="33"/>
      <c r="M124" s="19"/>
      <c r="O124" s="19"/>
      <c r="P124" s="19"/>
      <c r="Q124" s="19"/>
      <c r="R124" s="19"/>
      <c r="S124" s="19"/>
      <c r="T124" s="19"/>
      <c r="U124" s="19"/>
      <c r="V124" s="19"/>
      <c r="W124" s="19"/>
      <c r="Z124" s="19"/>
      <c r="AA124" s="19"/>
      <c r="AB124" s="22"/>
      <c r="AE124" s="19"/>
    </row>
    <row r="125" spans="1:31">
      <c r="A125" s="19"/>
      <c r="B125" s="22"/>
      <c r="C125" s="22"/>
      <c r="D125" s="19"/>
      <c r="E125" s="19"/>
      <c r="F125" s="31"/>
      <c r="G125" s="31"/>
      <c r="H125" s="31"/>
      <c r="I125" s="19"/>
      <c r="J125" s="22"/>
      <c r="K125" s="22"/>
      <c r="L125" s="33"/>
      <c r="M125" s="19"/>
      <c r="O125" s="19"/>
      <c r="P125" s="19"/>
      <c r="Q125" s="19"/>
      <c r="R125" s="19"/>
      <c r="S125" s="19"/>
      <c r="T125" s="19"/>
      <c r="U125" s="19"/>
      <c r="V125" s="19"/>
      <c r="W125" s="19"/>
      <c r="Z125" s="19"/>
      <c r="AA125" s="19"/>
      <c r="AB125" s="22"/>
      <c r="AE125" s="19"/>
    </row>
    <row r="126" spans="1:31">
      <c r="A126" s="19"/>
      <c r="B126" s="22"/>
      <c r="C126" s="22"/>
      <c r="D126" s="19"/>
      <c r="E126" s="19"/>
      <c r="F126" s="31"/>
      <c r="G126" s="31"/>
      <c r="H126" s="31"/>
      <c r="I126" s="19"/>
      <c r="J126" s="22"/>
      <c r="K126" s="22"/>
      <c r="L126" s="33"/>
      <c r="M126" s="19"/>
      <c r="O126" s="19"/>
      <c r="P126" s="19"/>
      <c r="Q126" s="19"/>
      <c r="R126" s="19"/>
      <c r="S126" s="19"/>
      <c r="T126" s="19"/>
      <c r="U126" s="19"/>
      <c r="V126" s="19"/>
      <c r="W126" s="19"/>
      <c r="Z126" s="19"/>
      <c r="AA126" s="19"/>
      <c r="AB126" s="22"/>
      <c r="AE126" s="19"/>
    </row>
    <row r="127" spans="1:31">
      <c r="A127" s="19"/>
      <c r="B127" s="22"/>
      <c r="C127" s="22"/>
      <c r="D127" s="19"/>
      <c r="E127" s="19"/>
      <c r="F127" s="31"/>
      <c r="G127" s="31"/>
      <c r="H127" s="31"/>
      <c r="I127" s="19"/>
      <c r="J127" s="22"/>
      <c r="K127" s="22"/>
      <c r="L127" s="33"/>
      <c r="M127" s="19"/>
      <c r="O127" s="19"/>
      <c r="P127" s="19"/>
      <c r="Q127" s="19"/>
      <c r="R127" s="19"/>
      <c r="S127" s="19"/>
      <c r="T127" s="19"/>
      <c r="U127" s="19"/>
      <c r="V127" s="19"/>
      <c r="W127" s="19"/>
      <c r="Z127" s="19"/>
      <c r="AA127" s="19"/>
      <c r="AB127" s="22"/>
      <c r="AE127" s="19"/>
    </row>
    <row r="128" spans="1:31">
      <c r="A128" s="19"/>
      <c r="B128" s="22"/>
      <c r="C128" s="22"/>
      <c r="D128" s="19"/>
      <c r="E128" s="19"/>
      <c r="F128" s="31"/>
      <c r="G128" s="31"/>
      <c r="H128" s="31"/>
      <c r="I128" s="19"/>
      <c r="J128" s="22"/>
      <c r="K128" s="22"/>
      <c r="L128" s="33"/>
      <c r="M128" s="19"/>
      <c r="O128" s="19"/>
      <c r="P128" s="19"/>
      <c r="Q128" s="19"/>
      <c r="R128" s="19"/>
      <c r="S128" s="19"/>
      <c r="T128" s="19"/>
      <c r="U128" s="19"/>
      <c r="V128" s="19"/>
      <c r="W128" s="19"/>
      <c r="Z128" s="19"/>
      <c r="AA128" s="19"/>
      <c r="AB128" s="22"/>
      <c r="AE128" s="19"/>
    </row>
    <row r="129" spans="1:31">
      <c r="A129" s="19"/>
      <c r="B129" s="22"/>
      <c r="C129" s="22"/>
      <c r="D129" s="19"/>
      <c r="E129" s="19"/>
      <c r="F129" s="31"/>
      <c r="G129" s="31"/>
      <c r="H129" s="31"/>
      <c r="I129" s="19"/>
      <c r="J129" s="22"/>
      <c r="K129" s="22"/>
      <c r="L129" s="33"/>
      <c r="M129" s="19"/>
      <c r="O129" s="19"/>
      <c r="P129" s="19"/>
      <c r="Q129" s="19"/>
      <c r="R129" s="19"/>
      <c r="S129" s="19"/>
      <c r="T129" s="19"/>
      <c r="U129" s="19"/>
      <c r="V129" s="19"/>
      <c r="W129" s="19"/>
      <c r="Z129" s="19"/>
      <c r="AA129" s="19"/>
      <c r="AB129" s="22"/>
      <c r="AE129" s="19"/>
    </row>
    <row r="130" spans="1:31">
      <c r="A130" s="19"/>
      <c r="B130" s="22"/>
      <c r="C130" s="22"/>
      <c r="D130" s="19"/>
      <c r="E130" s="19"/>
      <c r="F130" s="31"/>
      <c r="G130" s="31"/>
      <c r="H130" s="31"/>
      <c r="I130" s="19"/>
      <c r="J130" s="22"/>
      <c r="K130" s="22"/>
      <c r="L130" s="33"/>
      <c r="M130" s="19"/>
      <c r="O130" s="19"/>
      <c r="P130" s="19"/>
      <c r="Q130" s="19"/>
      <c r="R130" s="19"/>
      <c r="S130" s="19"/>
      <c r="T130" s="19"/>
      <c r="U130" s="19"/>
      <c r="V130" s="19"/>
      <c r="W130" s="19"/>
      <c r="Z130" s="19"/>
      <c r="AA130" s="19"/>
      <c r="AB130" s="22"/>
      <c r="AE130" s="19"/>
    </row>
    <row r="131" spans="1:31">
      <c r="A131" s="19"/>
      <c r="B131" s="22"/>
      <c r="C131" s="22"/>
      <c r="D131" s="19"/>
      <c r="E131" s="19"/>
      <c r="F131" s="31"/>
      <c r="G131" s="31"/>
      <c r="H131" s="31"/>
      <c r="I131" s="19"/>
      <c r="J131" s="22"/>
      <c r="K131" s="22"/>
      <c r="L131" s="33"/>
      <c r="M131" s="19"/>
      <c r="O131" s="19"/>
      <c r="P131" s="19"/>
      <c r="Q131" s="19"/>
      <c r="R131" s="19"/>
      <c r="S131" s="19"/>
      <c r="T131" s="19"/>
      <c r="U131" s="19"/>
      <c r="V131" s="19"/>
      <c r="W131" s="19"/>
      <c r="Z131" s="19"/>
      <c r="AA131" s="19"/>
      <c r="AB131" s="22"/>
      <c r="AE131" s="19"/>
    </row>
    <row r="132" spans="1:31">
      <c r="A132" s="19"/>
      <c r="B132" s="22"/>
      <c r="C132" s="22"/>
      <c r="D132" s="19"/>
      <c r="E132" s="19"/>
      <c r="F132" s="31"/>
      <c r="G132" s="31"/>
      <c r="H132" s="31"/>
      <c r="I132" s="19"/>
      <c r="J132" s="22"/>
      <c r="K132" s="22"/>
      <c r="L132" s="33"/>
      <c r="M132" s="19"/>
      <c r="O132" s="19"/>
      <c r="P132" s="19"/>
      <c r="Q132" s="19"/>
      <c r="R132" s="19"/>
      <c r="S132" s="19"/>
      <c r="T132" s="19"/>
      <c r="U132" s="19"/>
      <c r="V132" s="19"/>
      <c r="W132" s="19"/>
      <c r="Z132" s="19"/>
      <c r="AA132" s="19"/>
      <c r="AB132" s="22"/>
      <c r="AE132" s="19"/>
    </row>
    <row r="133" spans="1:31">
      <c r="A133" s="19"/>
      <c r="B133" s="22"/>
      <c r="C133" s="22"/>
      <c r="D133" s="19"/>
      <c r="E133" s="19"/>
      <c r="F133" s="31"/>
      <c r="G133" s="31"/>
      <c r="H133" s="31"/>
      <c r="I133" s="19"/>
      <c r="J133" s="22"/>
      <c r="K133" s="22"/>
      <c r="L133" s="33"/>
      <c r="M133" s="19"/>
      <c r="O133" s="19"/>
      <c r="P133" s="19"/>
      <c r="Q133" s="19"/>
      <c r="R133" s="19"/>
      <c r="S133" s="19"/>
      <c r="T133" s="19"/>
      <c r="U133" s="19"/>
      <c r="V133" s="19"/>
      <c r="W133" s="19"/>
      <c r="Z133" s="19"/>
      <c r="AA133" s="19"/>
      <c r="AB133" s="22"/>
      <c r="AE133" s="19"/>
    </row>
    <row r="134" spans="1:31">
      <c r="A134" s="19"/>
      <c r="B134" s="22"/>
      <c r="C134" s="22"/>
      <c r="D134" s="19"/>
      <c r="E134" s="19"/>
      <c r="F134" s="31"/>
      <c r="G134" s="31"/>
      <c r="H134" s="31"/>
      <c r="I134" s="19"/>
      <c r="J134" s="22"/>
      <c r="K134" s="22"/>
      <c r="L134" s="33"/>
      <c r="M134" s="19"/>
      <c r="O134" s="19"/>
      <c r="P134" s="19"/>
      <c r="Q134" s="19"/>
      <c r="R134" s="19"/>
      <c r="S134" s="19"/>
      <c r="T134" s="19"/>
      <c r="U134" s="19"/>
      <c r="V134" s="19"/>
      <c r="W134" s="19"/>
      <c r="Z134" s="19"/>
      <c r="AA134" s="19"/>
      <c r="AB134" s="22"/>
      <c r="AE134" s="19"/>
    </row>
    <row r="135" spans="1:31">
      <c r="A135" s="19"/>
      <c r="B135" s="22"/>
      <c r="C135" s="22"/>
      <c r="D135" s="19"/>
      <c r="E135" s="19"/>
      <c r="F135" s="31"/>
      <c r="G135" s="31"/>
      <c r="H135" s="31"/>
      <c r="I135" s="19"/>
      <c r="J135" s="22"/>
      <c r="K135" s="22"/>
      <c r="L135" s="33"/>
      <c r="M135" s="19"/>
      <c r="O135" s="19"/>
      <c r="P135" s="19"/>
      <c r="Q135" s="19"/>
      <c r="R135" s="19"/>
      <c r="S135" s="19"/>
      <c r="T135" s="19"/>
      <c r="U135" s="19"/>
      <c r="V135" s="19"/>
      <c r="W135" s="19"/>
      <c r="Z135" s="19"/>
      <c r="AA135" s="19"/>
      <c r="AB135" s="22"/>
      <c r="AE135" s="19"/>
    </row>
    <row r="136" spans="1:31">
      <c r="A136" s="19"/>
      <c r="B136" s="22"/>
      <c r="C136" s="22"/>
      <c r="D136" s="19"/>
      <c r="E136" s="19"/>
      <c r="F136" s="31"/>
      <c r="G136" s="31"/>
      <c r="H136" s="31"/>
      <c r="I136" s="19"/>
      <c r="J136" s="22"/>
      <c r="K136" s="22"/>
      <c r="L136" s="33"/>
      <c r="M136" s="19"/>
      <c r="O136" s="19"/>
      <c r="P136" s="19"/>
      <c r="Q136" s="19"/>
      <c r="R136" s="19"/>
      <c r="S136" s="19"/>
      <c r="T136" s="19"/>
      <c r="U136" s="19"/>
      <c r="V136" s="19"/>
      <c r="W136" s="19"/>
      <c r="Z136" s="19"/>
      <c r="AA136" s="19"/>
      <c r="AB136" s="22"/>
      <c r="AE136" s="19"/>
    </row>
    <row r="137" spans="1:31">
      <c r="A137" s="19"/>
      <c r="B137" s="22"/>
      <c r="C137" s="22"/>
      <c r="D137" s="19"/>
      <c r="E137" s="19"/>
      <c r="F137" s="31"/>
      <c r="G137" s="31"/>
      <c r="H137" s="31"/>
      <c r="I137" s="19"/>
      <c r="J137" s="22"/>
      <c r="K137" s="22"/>
      <c r="L137" s="33"/>
      <c r="M137" s="19"/>
      <c r="O137" s="19"/>
      <c r="P137" s="19"/>
      <c r="Q137" s="19"/>
      <c r="R137" s="19"/>
      <c r="S137" s="19"/>
      <c r="T137" s="19"/>
      <c r="U137" s="19"/>
      <c r="V137" s="19"/>
      <c r="W137" s="19"/>
      <c r="Z137" s="19"/>
      <c r="AA137" s="19"/>
      <c r="AB137" s="22"/>
      <c r="AE137" s="19"/>
    </row>
    <row r="138" spans="1:31">
      <c r="A138" s="19"/>
      <c r="B138" s="22"/>
      <c r="C138" s="22"/>
      <c r="D138" s="19"/>
      <c r="E138" s="19"/>
      <c r="F138" s="31"/>
      <c r="G138" s="31"/>
      <c r="H138" s="31"/>
      <c r="I138" s="19"/>
      <c r="J138" s="22"/>
      <c r="K138" s="22"/>
      <c r="L138" s="33"/>
      <c r="M138" s="19"/>
      <c r="O138" s="19"/>
      <c r="P138" s="19"/>
      <c r="Q138" s="19"/>
      <c r="R138" s="19"/>
      <c r="S138" s="19"/>
      <c r="T138" s="19"/>
      <c r="U138" s="19"/>
      <c r="V138" s="19"/>
      <c r="W138" s="19"/>
      <c r="Z138" s="19"/>
      <c r="AA138" s="19"/>
      <c r="AB138" s="22"/>
      <c r="AE138" s="19"/>
    </row>
    <row r="139" spans="1:31">
      <c r="A139" s="19"/>
      <c r="B139" s="22"/>
      <c r="C139" s="22"/>
      <c r="D139" s="19"/>
      <c r="E139" s="19"/>
      <c r="F139" s="31"/>
      <c r="G139" s="31"/>
      <c r="H139" s="31"/>
      <c r="I139" s="19"/>
      <c r="J139" s="22"/>
      <c r="K139" s="22"/>
      <c r="L139" s="33"/>
      <c r="M139" s="19"/>
      <c r="O139" s="19"/>
      <c r="P139" s="19"/>
      <c r="Q139" s="19"/>
      <c r="R139" s="19"/>
      <c r="S139" s="19"/>
      <c r="T139" s="19"/>
      <c r="U139" s="19"/>
      <c r="V139" s="19"/>
      <c r="W139" s="19"/>
      <c r="Z139" s="19"/>
      <c r="AA139" s="19"/>
      <c r="AB139" s="22"/>
      <c r="AE139" s="19"/>
    </row>
    <row r="140" spans="1:31">
      <c r="A140" s="19"/>
      <c r="B140" s="22"/>
      <c r="C140" s="22"/>
      <c r="D140" s="19"/>
      <c r="E140" s="19"/>
      <c r="F140" s="31"/>
      <c r="G140" s="31"/>
      <c r="H140" s="31"/>
      <c r="I140" s="19"/>
      <c r="J140" s="22"/>
      <c r="K140" s="22"/>
      <c r="L140" s="33"/>
      <c r="M140" s="19"/>
      <c r="O140" s="19"/>
      <c r="P140" s="19"/>
      <c r="Q140" s="19"/>
      <c r="R140" s="19"/>
      <c r="S140" s="19"/>
      <c r="T140" s="19"/>
      <c r="U140" s="19"/>
      <c r="V140" s="19"/>
      <c r="W140" s="19"/>
      <c r="Z140" s="19"/>
      <c r="AA140" s="19"/>
      <c r="AB140" s="22"/>
      <c r="AE140" s="19"/>
    </row>
    <row r="141" spans="1:31">
      <c r="A141" s="19"/>
      <c r="B141" s="22"/>
      <c r="C141" s="22"/>
      <c r="D141" s="19"/>
      <c r="E141" s="19"/>
      <c r="F141" s="31"/>
      <c r="G141" s="31"/>
      <c r="H141" s="31"/>
      <c r="I141" s="19"/>
      <c r="J141" s="22"/>
      <c r="K141" s="22"/>
      <c r="L141" s="33"/>
      <c r="M141" s="19"/>
      <c r="O141" s="19"/>
      <c r="P141" s="19"/>
      <c r="Q141" s="19"/>
      <c r="R141" s="19"/>
      <c r="S141" s="19"/>
      <c r="T141" s="19"/>
      <c r="U141" s="19"/>
      <c r="V141" s="19"/>
      <c r="W141" s="19"/>
      <c r="Z141" s="19"/>
      <c r="AA141" s="19"/>
      <c r="AB141" s="22"/>
      <c r="AE141" s="19"/>
    </row>
    <row r="142" spans="1:31">
      <c r="A142" s="19"/>
      <c r="B142" s="22"/>
      <c r="C142" s="22"/>
      <c r="D142" s="19"/>
      <c r="E142" s="19"/>
      <c r="F142" s="31"/>
      <c r="G142" s="31"/>
      <c r="H142" s="31"/>
      <c r="I142" s="19"/>
      <c r="J142" s="22"/>
      <c r="K142" s="22"/>
      <c r="L142" s="33"/>
      <c r="M142" s="19"/>
      <c r="O142" s="19"/>
      <c r="P142" s="19"/>
      <c r="Q142" s="19"/>
      <c r="R142" s="19"/>
      <c r="S142" s="19"/>
      <c r="T142" s="19"/>
      <c r="U142" s="19"/>
      <c r="V142" s="19"/>
      <c r="W142" s="19"/>
      <c r="Z142" s="19"/>
      <c r="AA142" s="19"/>
      <c r="AB142" s="22"/>
      <c r="AE142" s="19"/>
    </row>
    <row r="143" spans="1:31">
      <c r="A143" s="19"/>
      <c r="B143" s="22"/>
      <c r="C143" s="22"/>
      <c r="D143" s="19"/>
      <c r="E143" s="19"/>
      <c r="F143" s="31"/>
      <c r="G143" s="31"/>
      <c r="H143" s="31"/>
      <c r="I143" s="19"/>
      <c r="J143" s="22"/>
      <c r="K143" s="22"/>
      <c r="L143" s="33"/>
      <c r="M143" s="19"/>
      <c r="O143" s="19"/>
      <c r="P143" s="19"/>
      <c r="Q143" s="19"/>
      <c r="R143" s="19"/>
      <c r="S143" s="19"/>
      <c r="T143" s="19"/>
      <c r="U143" s="19"/>
      <c r="V143" s="19"/>
      <c r="W143" s="19"/>
      <c r="Z143" s="19"/>
      <c r="AA143" s="19"/>
      <c r="AB143" s="22"/>
      <c r="AE143" s="19"/>
    </row>
    <row r="144" spans="1:31">
      <c r="A144" s="19"/>
      <c r="B144" s="22"/>
      <c r="C144" s="22"/>
      <c r="D144" s="19"/>
      <c r="E144" s="19"/>
      <c r="F144" s="31"/>
      <c r="G144" s="31"/>
      <c r="H144" s="31"/>
      <c r="I144" s="19"/>
      <c r="J144" s="22"/>
      <c r="K144" s="22"/>
      <c r="L144" s="33"/>
      <c r="M144" s="19"/>
      <c r="O144" s="19"/>
      <c r="P144" s="19"/>
      <c r="Q144" s="19"/>
      <c r="R144" s="19"/>
      <c r="S144" s="19"/>
      <c r="T144" s="19"/>
      <c r="U144" s="19"/>
      <c r="V144" s="19"/>
      <c r="W144" s="19"/>
      <c r="Z144" s="19"/>
      <c r="AA144" s="19"/>
      <c r="AB144" s="22"/>
      <c r="AE144" s="19"/>
    </row>
    <row r="145" spans="1:31">
      <c r="A145" s="19"/>
      <c r="B145" s="22"/>
      <c r="C145" s="22"/>
      <c r="D145" s="19"/>
      <c r="E145" s="19"/>
      <c r="F145" s="31"/>
      <c r="G145" s="31"/>
      <c r="H145" s="31"/>
      <c r="I145" s="19"/>
      <c r="J145" s="22"/>
      <c r="K145" s="22"/>
      <c r="L145" s="33"/>
      <c r="M145" s="19"/>
      <c r="O145" s="19"/>
      <c r="P145" s="19"/>
      <c r="Q145" s="19"/>
      <c r="R145" s="19"/>
      <c r="S145" s="19"/>
      <c r="T145" s="19"/>
      <c r="U145" s="19"/>
      <c r="V145" s="19"/>
      <c r="W145" s="19"/>
      <c r="Z145" s="19"/>
      <c r="AA145" s="19"/>
      <c r="AB145" s="22"/>
      <c r="AE145" s="19"/>
    </row>
    <row r="146" spans="1:31">
      <c r="A146" s="19"/>
      <c r="B146" s="22"/>
      <c r="C146" s="22"/>
      <c r="D146" s="19"/>
      <c r="E146" s="19"/>
      <c r="F146" s="31"/>
      <c r="G146" s="31"/>
      <c r="H146" s="31"/>
      <c r="I146" s="19"/>
      <c r="J146" s="22"/>
      <c r="K146" s="22"/>
      <c r="L146" s="33"/>
      <c r="M146" s="19"/>
      <c r="O146" s="19"/>
      <c r="P146" s="19"/>
      <c r="Q146" s="19"/>
      <c r="R146" s="19"/>
      <c r="S146" s="19"/>
      <c r="T146" s="19"/>
      <c r="U146" s="19"/>
      <c r="V146" s="19"/>
      <c r="W146" s="19"/>
      <c r="Z146" s="19"/>
      <c r="AA146" s="19"/>
      <c r="AB146" s="22"/>
      <c r="AE146" s="19"/>
    </row>
    <row r="147" spans="1:31">
      <c r="A147" s="19"/>
      <c r="B147" s="22"/>
      <c r="C147" s="22"/>
      <c r="D147" s="19"/>
      <c r="E147" s="19"/>
      <c r="F147" s="31"/>
      <c r="G147" s="31"/>
      <c r="H147" s="31"/>
      <c r="I147" s="19"/>
      <c r="J147" s="22"/>
      <c r="K147" s="22"/>
      <c r="L147" s="33"/>
      <c r="M147" s="19"/>
      <c r="O147" s="19"/>
      <c r="P147" s="19"/>
      <c r="Q147" s="19"/>
      <c r="R147" s="19"/>
      <c r="S147" s="19"/>
      <c r="T147" s="19"/>
      <c r="U147" s="19"/>
      <c r="V147" s="19"/>
      <c r="W147" s="19"/>
      <c r="Z147" s="19"/>
      <c r="AA147" s="19"/>
      <c r="AB147" s="22"/>
      <c r="AE147" s="19"/>
    </row>
    <row r="148" spans="1:31">
      <c r="A148" s="19"/>
      <c r="B148" s="22"/>
      <c r="C148" s="22"/>
      <c r="D148" s="19"/>
      <c r="E148" s="19"/>
      <c r="F148" s="31"/>
      <c r="G148" s="31"/>
      <c r="H148" s="31"/>
      <c r="I148" s="19"/>
      <c r="J148" s="22"/>
      <c r="K148" s="22"/>
      <c r="L148" s="33"/>
      <c r="M148" s="19"/>
      <c r="O148" s="19"/>
      <c r="P148" s="19"/>
      <c r="Q148" s="19"/>
      <c r="R148" s="19"/>
      <c r="S148" s="19"/>
      <c r="T148" s="19"/>
      <c r="U148" s="19"/>
      <c r="V148" s="19"/>
      <c r="W148" s="19"/>
      <c r="Z148" s="19"/>
      <c r="AA148" s="19"/>
      <c r="AB148" s="22"/>
      <c r="AE148" s="19"/>
    </row>
    <row r="149" spans="1:31">
      <c r="A149" s="19"/>
      <c r="B149" s="22"/>
      <c r="C149" s="22"/>
      <c r="D149" s="19"/>
      <c r="E149" s="19"/>
      <c r="F149" s="31"/>
      <c r="G149" s="31"/>
      <c r="H149" s="31"/>
      <c r="I149" s="19"/>
      <c r="J149" s="22"/>
      <c r="K149" s="22"/>
      <c r="L149" s="33"/>
      <c r="M149" s="19"/>
      <c r="O149" s="19"/>
      <c r="P149" s="19"/>
      <c r="Q149" s="19"/>
      <c r="R149" s="19"/>
      <c r="S149" s="19"/>
      <c r="T149" s="19"/>
      <c r="U149" s="19"/>
      <c r="V149" s="19"/>
      <c r="W149" s="19"/>
      <c r="Z149" s="19"/>
      <c r="AA149" s="19"/>
      <c r="AB149" s="22"/>
      <c r="AE149" s="19"/>
    </row>
    <row r="150" spans="1:31">
      <c r="A150" s="19"/>
      <c r="B150" s="22"/>
      <c r="C150" s="22"/>
      <c r="D150" s="19"/>
      <c r="E150" s="19"/>
      <c r="F150" s="31"/>
      <c r="G150" s="31"/>
      <c r="H150" s="31"/>
      <c r="I150" s="19"/>
      <c r="J150" s="22"/>
      <c r="K150" s="22"/>
      <c r="L150" s="33"/>
      <c r="M150" s="19"/>
      <c r="O150" s="19"/>
      <c r="P150" s="19"/>
      <c r="Q150" s="19"/>
      <c r="R150" s="19"/>
      <c r="S150" s="19"/>
      <c r="T150" s="19"/>
      <c r="U150" s="19"/>
      <c r="V150" s="19"/>
      <c r="W150" s="19"/>
      <c r="Z150" s="19"/>
      <c r="AA150" s="19"/>
      <c r="AB150" s="22"/>
      <c r="AE150" s="19"/>
    </row>
    <row r="151" spans="1:31">
      <c r="A151" s="19"/>
      <c r="B151" s="22"/>
      <c r="C151" s="22"/>
      <c r="D151" s="19"/>
      <c r="E151" s="19"/>
      <c r="F151" s="31"/>
      <c r="G151" s="31"/>
      <c r="H151" s="31"/>
      <c r="I151" s="19"/>
      <c r="J151" s="22"/>
      <c r="K151" s="22"/>
      <c r="L151" s="33"/>
      <c r="M151" s="19"/>
      <c r="O151" s="19"/>
      <c r="P151" s="19"/>
      <c r="Q151" s="19"/>
      <c r="R151" s="19"/>
      <c r="S151" s="19"/>
      <c r="T151" s="19"/>
      <c r="U151" s="19"/>
      <c r="V151" s="19"/>
      <c r="W151" s="19"/>
      <c r="Z151" s="19"/>
      <c r="AA151" s="19"/>
      <c r="AB151" s="22"/>
      <c r="AE151" s="19"/>
    </row>
    <row r="152" spans="1:31">
      <c r="A152" s="15"/>
      <c r="B152" s="24"/>
      <c r="C152" s="24"/>
      <c r="D152" s="15"/>
      <c r="E152" s="15"/>
      <c r="F152" s="15"/>
      <c r="G152" s="15"/>
      <c r="H152" s="15"/>
      <c r="I152" s="15"/>
      <c r="J152" s="24"/>
      <c r="K152" s="24"/>
      <c r="L152" s="34"/>
      <c r="M152" s="15"/>
      <c r="O152" s="15"/>
      <c r="P152" s="15"/>
      <c r="Q152" s="15"/>
      <c r="R152" s="15"/>
      <c r="S152" s="15"/>
      <c r="T152" s="15"/>
      <c r="U152" s="15"/>
      <c r="V152" s="15"/>
      <c r="W152" s="15"/>
      <c r="Z152" s="15"/>
      <c r="AA152" s="15"/>
      <c r="AB152" s="24"/>
      <c r="AE152" s="15"/>
    </row>
    <row r="153" spans="1:31">
      <c r="A153" s="15"/>
      <c r="B153" s="24"/>
      <c r="C153" s="24"/>
      <c r="D153" s="15"/>
      <c r="E153" s="15"/>
      <c r="F153" s="15"/>
      <c r="G153" s="15"/>
      <c r="H153" s="15"/>
      <c r="I153" s="15"/>
      <c r="J153" s="24"/>
      <c r="K153" s="24"/>
      <c r="L153" s="34"/>
      <c r="M153" s="15"/>
      <c r="O153" s="15"/>
      <c r="P153" s="15"/>
      <c r="Q153" s="15"/>
      <c r="R153" s="15"/>
      <c r="S153" s="15"/>
      <c r="T153" s="15"/>
      <c r="U153" s="15"/>
      <c r="V153" s="15"/>
      <c r="W153" s="15"/>
      <c r="Z153" s="15"/>
      <c r="AA153" s="15"/>
      <c r="AB153" s="24"/>
      <c r="AE153" s="15"/>
    </row>
  </sheetData>
  <sortState xmlns:xlrd2="http://schemas.microsoft.com/office/spreadsheetml/2017/richdata2" ref="A2:AE74">
    <sortCondition ref="A2:A74"/>
  </sortState>
  <phoneticPr fontId="3" type="noConversion"/>
  <hyperlinks>
    <hyperlink ref="AE45" r:id="rId1" xr:uid="{1D84E121-31A2-4D96-9E9A-38629B0C1FFB}"/>
    <hyperlink ref="AE64" r:id="rId2" xr:uid="{E4922604-3A7F-4CD6-9A53-37088F6FF60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CE43-1EE0-40FA-A78E-098915F5DD61}">
  <sheetPr filterMode="1"/>
  <dimension ref="A1:I106"/>
  <sheetViews>
    <sheetView topLeftCell="B1" workbookViewId="0">
      <pane ySplit="1" topLeftCell="A99" activePane="bottomLeft" state="frozen"/>
      <selection pane="bottomLeft" activeCell="B14" sqref="B14"/>
    </sheetView>
  </sheetViews>
  <sheetFormatPr defaultRowHeight="15"/>
  <cols>
    <col min="1" max="1" width="16.85546875" customWidth="1"/>
    <col min="2" max="2" width="54.7109375" customWidth="1"/>
    <col min="3" max="3" width="54.7109375" hidden="1" customWidth="1"/>
    <col min="4" max="4" width="54.7109375" customWidth="1"/>
    <col min="5" max="5" width="26.140625" style="48" customWidth="1"/>
    <col min="6" max="6" width="55.5703125" style="48" customWidth="1"/>
    <col min="7" max="8" width="26.140625" style="48" customWidth="1"/>
    <col min="9" max="9" width="18.140625" customWidth="1"/>
  </cols>
  <sheetData>
    <row r="1" spans="1:9">
      <c r="A1" s="14" t="s">
        <v>0</v>
      </c>
      <c r="B1" s="14" t="s">
        <v>2</v>
      </c>
      <c r="C1" s="14" t="s">
        <v>229</v>
      </c>
      <c r="D1" s="14" t="s">
        <v>230</v>
      </c>
      <c r="E1" s="48" t="s">
        <v>231</v>
      </c>
      <c r="F1" s="54" t="s">
        <v>3</v>
      </c>
      <c r="G1" s="48" t="s">
        <v>232</v>
      </c>
      <c r="H1" s="48" t="s">
        <v>233</v>
      </c>
      <c r="I1" t="s">
        <v>234</v>
      </c>
    </row>
    <row r="2" spans="1:9" hidden="1">
      <c r="A2">
        <v>0</v>
      </c>
      <c r="B2" t="s">
        <v>235</v>
      </c>
      <c r="C2" t="s">
        <v>235</v>
      </c>
      <c r="D2" t="s">
        <v>236</v>
      </c>
      <c r="E2" s="49" t="s">
        <v>237</v>
      </c>
      <c r="F2" s="49" t="s">
        <v>238</v>
      </c>
      <c r="G2" s="49" t="s">
        <v>17</v>
      </c>
      <c r="H2" s="49" t="s">
        <v>239</v>
      </c>
      <c r="I2" t="s">
        <v>240</v>
      </c>
    </row>
    <row r="3" spans="1:9" hidden="1">
      <c r="A3">
        <v>0</v>
      </c>
      <c r="B3" t="s">
        <v>235</v>
      </c>
      <c r="C3" t="s">
        <v>235</v>
      </c>
      <c r="D3" t="s">
        <v>236</v>
      </c>
      <c r="E3" s="49" t="s">
        <v>241</v>
      </c>
      <c r="F3" s="49" t="s">
        <v>242</v>
      </c>
      <c r="G3" s="49" t="s">
        <v>17</v>
      </c>
      <c r="H3" s="49" t="s">
        <v>239</v>
      </c>
      <c r="I3" t="s">
        <v>240</v>
      </c>
    </row>
    <row r="4" spans="1:9">
      <c r="A4">
        <v>0</v>
      </c>
      <c r="B4" t="s">
        <v>235</v>
      </c>
      <c r="C4" t="s">
        <v>235</v>
      </c>
      <c r="D4" t="s">
        <v>236</v>
      </c>
      <c r="E4" s="49" t="s">
        <v>243</v>
      </c>
      <c r="F4" s="49" t="s">
        <v>242</v>
      </c>
      <c r="G4" s="49" t="s">
        <v>17</v>
      </c>
      <c r="H4" s="49" t="s">
        <v>244</v>
      </c>
      <c r="I4" t="s">
        <v>240</v>
      </c>
    </row>
    <row r="5" spans="1:9">
      <c r="A5">
        <v>0</v>
      </c>
      <c r="B5" t="s">
        <v>235</v>
      </c>
      <c r="C5" t="s">
        <v>235</v>
      </c>
      <c r="D5" t="s">
        <v>236</v>
      </c>
      <c r="E5" s="49" t="s">
        <v>245</v>
      </c>
      <c r="F5" s="49" t="s">
        <v>246</v>
      </c>
      <c r="G5" s="49" t="s">
        <v>17</v>
      </c>
      <c r="H5" s="49" t="s">
        <v>244</v>
      </c>
    </row>
    <row r="6" spans="1:9" hidden="1">
      <c r="A6">
        <v>0</v>
      </c>
      <c r="B6" t="s">
        <v>235</v>
      </c>
      <c r="C6" t="s">
        <v>235</v>
      </c>
      <c r="D6" t="s">
        <v>236</v>
      </c>
      <c r="E6" s="49" t="s">
        <v>247</v>
      </c>
      <c r="F6" s="49" t="s">
        <v>246</v>
      </c>
      <c r="G6" s="49" t="s">
        <v>17</v>
      </c>
      <c r="H6" s="49" t="s">
        <v>239</v>
      </c>
      <c r="I6" t="s">
        <v>240</v>
      </c>
    </row>
    <row r="7" spans="1:9" hidden="1">
      <c r="A7">
        <v>0</v>
      </c>
      <c r="B7" t="s">
        <v>235</v>
      </c>
      <c r="C7" t="s">
        <v>235</v>
      </c>
      <c r="D7" t="s">
        <v>248</v>
      </c>
      <c r="E7" s="49" t="s">
        <v>249</v>
      </c>
      <c r="F7" s="48" t="s">
        <v>250</v>
      </c>
      <c r="G7" s="49" t="s">
        <v>17</v>
      </c>
      <c r="H7" s="49" t="s">
        <v>239</v>
      </c>
      <c r="I7" t="s">
        <v>240</v>
      </c>
    </row>
    <row r="8" spans="1:9" hidden="1">
      <c r="A8">
        <v>0</v>
      </c>
      <c r="B8" t="s">
        <v>235</v>
      </c>
      <c r="C8" t="s">
        <v>235</v>
      </c>
      <c r="D8" t="s">
        <v>248</v>
      </c>
      <c r="E8" s="49" t="s">
        <v>251</v>
      </c>
      <c r="F8" s="49" t="s">
        <v>252</v>
      </c>
      <c r="G8" s="49" t="s">
        <v>17</v>
      </c>
      <c r="H8" s="49" t="s">
        <v>253</v>
      </c>
      <c r="I8" t="s">
        <v>254</v>
      </c>
    </row>
    <row r="9" spans="1:9">
      <c r="A9">
        <v>0</v>
      </c>
      <c r="B9" t="s">
        <v>235</v>
      </c>
      <c r="C9" t="s">
        <v>235</v>
      </c>
      <c r="D9" t="s">
        <v>248</v>
      </c>
      <c r="E9" s="48" t="s">
        <v>255</v>
      </c>
      <c r="F9" s="48" t="s">
        <v>250</v>
      </c>
      <c r="G9" s="49" t="s">
        <v>17</v>
      </c>
      <c r="H9" s="48" t="s">
        <v>244</v>
      </c>
    </row>
    <row r="10" spans="1:9" hidden="1">
      <c r="A10">
        <v>0</v>
      </c>
      <c r="B10" t="s">
        <v>235</v>
      </c>
      <c r="C10" t="s">
        <v>235</v>
      </c>
      <c r="D10" s="49" t="s">
        <v>256</v>
      </c>
      <c r="E10" s="49" t="s">
        <v>257</v>
      </c>
      <c r="F10" s="49" t="s">
        <v>256</v>
      </c>
      <c r="G10" s="49" t="s">
        <v>17</v>
      </c>
      <c r="H10" s="49" t="s">
        <v>239</v>
      </c>
      <c r="I10" t="s">
        <v>240</v>
      </c>
    </row>
    <row r="11" spans="1:9">
      <c r="A11">
        <v>0</v>
      </c>
      <c r="B11" t="s">
        <v>235</v>
      </c>
      <c r="C11" t="s">
        <v>235</v>
      </c>
      <c r="D11" s="49" t="s">
        <v>256</v>
      </c>
      <c r="E11" s="49" t="s">
        <v>258</v>
      </c>
      <c r="F11" s="49" t="s">
        <v>256</v>
      </c>
      <c r="G11" s="49" t="s">
        <v>17</v>
      </c>
      <c r="H11" s="49" t="s">
        <v>244</v>
      </c>
    </row>
    <row r="12" spans="1:9" hidden="1">
      <c r="A12">
        <v>0</v>
      </c>
      <c r="B12" t="s">
        <v>235</v>
      </c>
      <c r="C12" t="s">
        <v>235</v>
      </c>
      <c r="D12" t="s">
        <v>259</v>
      </c>
      <c r="E12" s="49" t="s">
        <v>260</v>
      </c>
      <c r="F12" s="49" t="s">
        <v>261</v>
      </c>
      <c r="G12" s="49" t="s">
        <v>17</v>
      </c>
      <c r="H12" s="49" t="s">
        <v>239</v>
      </c>
      <c r="I12" t="s">
        <v>240</v>
      </c>
    </row>
    <row r="13" spans="1:9">
      <c r="A13">
        <v>0</v>
      </c>
      <c r="B13" t="s">
        <v>235</v>
      </c>
      <c r="C13" t="s">
        <v>235</v>
      </c>
      <c r="D13" t="s">
        <v>259</v>
      </c>
      <c r="E13" s="49" t="s">
        <v>262</v>
      </c>
      <c r="F13" s="49" t="s">
        <v>259</v>
      </c>
      <c r="G13" s="49" t="s">
        <v>17</v>
      </c>
      <c r="H13" s="49" t="s">
        <v>244</v>
      </c>
    </row>
    <row r="14" spans="1:9" hidden="1">
      <c r="A14">
        <v>0</v>
      </c>
      <c r="B14" t="s">
        <v>235</v>
      </c>
      <c r="C14" t="s">
        <v>235</v>
      </c>
      <c r="D14" t="s">
        <v>263</v>
      </c>
      <c r="E14" s="49" t="s">
        <v>264</v>
      </c>
      <c r="F14" s="49" t="s">
        <v>265</v>
      </c>
      <c r="G14" s="49" t="s">
        <v>17</v>
      </c>
      <c r="H14" s="49" t="s">
        <v>239</v>
      </c>
      <c r="I14" t="s">
        <v>240</v>
      </c>
    </row>
    <row r="15" spans="1:9" hidden="1">
      <c r="A15">
        <v>0</v>
      </c>
      <c r="B15" t="s">
        <v>235</v>
      </c>
      <c r="C15" t="s">
        <v>235</v>
      </c>
      <c r="D15" t="s">
        <v>263</v>
      </c>
      <c r="E15" s="49" t="s">
        <v>266</v>
      </c>
      <c r="F15" s="49" t="s">
        <v>267</v>
      </c>
      <c r="G15" s="49" t="s">
        <v>17</v>
      </c>
      <c r="H15" s="49" t="s">
        <v>239</v>
      </c>
      <c r="I15" t="s">
        <v>240</v>
      </c>
    </row>
    <row r="16" spans="1:9">
      <c r="A16">
        <v>0</v>
      </c>
      <c r="B16" t="s">
        <v>235</v>
      </c>
      <c r="C16" t="s">
        <v>235</v>
      </c>
      <c r="D16" t="s">
        <v>263</v>
      </c>
      <c r="E16" s="49" t="s">
        <v>268</v>
      </c>
      <c r="F16" s="49" t="s">
        <v>265</v>
      </c>
      <c r="G16" s="49" t="s">
        <v>17</v>
      </c>
      <c r="H16" s="49" t="s">
        <v>244</v>
      </c>
    </row>
    <row r="17" spans="1:9">
      <c r="A17">
        <v>0</v>
      </c>
      <c r="B17" t="s">
        <v>235</v>
      </c>
      <c r="C17" t="s">
        <v>235</v>
      </c>
      <c r="D17" t="s">
        <v>269</v>
      </c>
      <c r="E17" s="49" t="s">
        <v>270</v>
      </c>
      <c r="F17" s="49" t="s">
        <v>271</v>
      </c>
      <c r="G17" s="49" t="s">
        <v>17</v>
      </c>
      <c r="H17" s="49" t="s">
        <v>244</v>
      </c>
    </row>
    <row r="18" spans="1:9">
      <c r="A18" s="16">
        <v>4</v>
      </c>
      <c r="B18" s="16" t="str">
        <f>VLOOKUP(A18,'Indicadores PFGP'!A$2:$D$89,4,0)</f>
        <v>Percentual de Pessoas Negras em Liderança</v>
      </c>
      <c r="C18" s="52" t="s">
        <v>147</v>
      </c>
      <c r="D18" s="54" t="s">
        <v>272</v>
      </c>
      <c r="E18" s="49" t="s">
        <v>273</v>
      </c>
      <c r="F18" s="54" t="s">
        <v>272</v>
      </c>
      <c r="G18" s="49" t="s">
        <v>17</v>
      </c>
      <c r="H18" s="49" t="s">
        <v>244</v>
      </c>
    </row>
    <row r="19" spans="1:9">
      <c r="A19" s="16">
        <v>4</v>
      </c>
      <c r="B19" s="16" t="str">
        <f>VLOOKUP(A19,'Indicadores PFGP'!A$2:$D$89,4,0)</f>
        <v>Percentual de Pessoas Negras em Liderança</v>
      </c>
      <c r="C19" s="52" t="s">
        <v>147</v>
      </c>
      <c r="D19" s="54" t="s">
        <v>274</v>
      </c>
      <c r="E19" s="49" t="s">
        <v>275</v>
      </c>
      <c r="F19" s="54" t="s">
        <v>274</v>
      </c>
      <c r="G19" s="49" t="s">
        <v>17</v>
      </c>
      <c r="H19" s="49" t="s">
        <v>244</v>
      </c>
    </row>
    <row r="20" spans="1:9" hidden="1">
      <c r="A20" s="16">
        <v>4</v>
      </c>
      <c r="B20" s="16" t="str">
        <f>VLOOKUP(A20,'Indicadores PFGP'!A$2:$D$89,4,0)</f>
        <v>Percentual de Pessoas Negras em Liderança</v>
      </c>
      <c r="C20" s="52" t="s">
        <v>147</v>
      </c>
      <c r="D20" s="54" t="s">
        <v>272</v>
      </c>
      <c r="E20" s="48" t="s">
        <v>276</v>
      </c>
      <c r="F20" s="54" t="s">
        <v>272</v>
      </c>
      <c r="G20" s="49" t="s">
        <v>17</v>
      </c>
      <c r="H20" s="49" t="s">
        <v>239</v>
      </c>
      <c r="I20" t="s">
        <v>240</v>
      </c>
    </row>
    <row r="21" spans="1:9" hidden="1">
      <c r="A21" s="16">
        <v>4</v>
      </c>
      <c r="B21" s="16" t="str">
        <f>VLOOKUP(A21,'Indicadores PFGP'!A$2:$D$89,4,0)</f>
        <v>Percentual de Pessoas Negras em Liderança</v>
      </c>
      <c r="C21" s="52" t="s">
        <v>147</v>
      </c>
      <c r="D21" s="54" t="s">
        <v>274</v>
      </c>
      <c r="E21" s="48" t="s">
        <v>277</v>
      </c>
      <c r="F21" s="54" t="s">
        <v>278</v>
      </c>
      <c r="G21" s="49" t="s">
        <v>17</v>
      </c>
      <c r="H21" s="49" t="s">
        <v>239</v>
      </c>
      <c r="I21" t="s">
        <v>240</v>
      </c>
    </row>
    <row r="22" spans="1:9" hidden="1">
      <c r="A22" s="16">
        <v>4</v>
      </c>
      <c r="B22" s="16" t="str">
        <f>VLOOKUP(A22,'Indicadores PFGP'!A$2:$D$89,4,0)</f>
        <v>Percentual de Pessoas Negras em Liderança</v>
      </c>
      <c r="C22" s="52" t="s">
        <v>147</v>
      </c>
      <c r="D22" s="54" t="s">
        <v>274</v>
      </c>
      <c r="E22" s="48" t="s">
        <v>279</v>
      </c>
      <c r="F22" s="54" t="s">
        <v>274</v>
      </c>
      <c r="G22" s="49" t="s">
        <v>17</v>
      </c>
      <c r="H22" s="49" t="s">
        <v>239</v>
      </c>
      <c r="I22" t="s">
        <v>240</v>
      </c>
    </row>
    <row r="23" spans="1:9">
      <c r="A23" s="16">
        <v>4</v>
      </c>
      <c r="B23" s="16" t="str">
        <f>VLOOKUP(A23,'Indicadores PFGP'!A$2:$D$89,4,0)</f>
        <v>Percentual de Pessoas Negras em Liderança</v>
      </c>
      <c r="C23" s="52" t="s">
        <v>147</v>
      </c>
      <c r="D23" s="49" t="s">
        <v>256</v>
      </c>
      <c r="E23" s="49" t="s">
        <v>258</v>
      </c>
      <c r="F23" s="49" t="s">
        <v>256</v>
      </c>
      <c r="G23" s="49" t="s">
        <v>17</v>
      </c>
      <c r="H23" s="49" t="s">
        <v>244</v>
      </c>
    </row>
    <row r="24" spans="1:9" hidden="1">
      <c r="A24" s="16">
        <v>4</v>
      </c>
      <c r="B24" s="16" t="str">
        <f>VLOOKUP(A24,'Indicadores PFGP'!A$2:$D$89,4,0)</f>
        <v>Percentual de Pessoas Negras em Liderança</v>
      </c>
      <c r="C24" s="52" t="s">
        <v>147</v>
      </c>
      <c r="D24" s="49" t="s">
        <v>256</v>
      </c>
      <c r="E24" s="49" t="s">
        <v>257</v>
      </c>
      <c r="F24" s="49" t="s">
        <v>256</v>
      </c>
      <c r="G24" s="49" t="s">
        <v>17</v>
      </c>
      <c r="H24" s="49" t="s">
        <v>239</v>
      </c>
      <c r="I24" t="s">
        <v>240</v>
      </c>
    </row>
    <row r="25" spans="1:9">
      <c r="A25" s="16">
        <v>50</v>
      </c>
      <c r="B25" s="16" t="str">
        <f>VLOOKUP(A25,'Indicadores PFGP'!A$2:$D$89,4,0)</f>
        <v>Percentual de cargos de liderança ocupados por mulheres</v>
      </c>
      <c r="C25" s="52" t="s">
        <v>280</v>
      </c>
      <c r="D25" s="54" t="s">
        <v>272</v>
      </c>
      <c r="E25" s="49" t="s">
        <v>273</v>
      </c>
      <c r="F25" s="54" t="s">
        <v>272</v>
      </c>
      <c r="G25" s="49" t="s">
        <v>17</v>
      </c>
      <c r="H25" s="49" t="s">
        <v>244</v>
      </c>
    </row>
    <row r="26" spans="1:9">
      <c r="A26" s="16">
        <v>50</v>
      </c>
      <c r="B26" s="16" t="str">
        <f>VLOOKUP(A26,'Indicadores PFGP'!A$2:$D$89,4,0)</f>
        <v>Percentual de cargos de liderança ocupados por mulheres</v>
      </c>
      <c r="C26" s="52" t="s">
        <v>280</v>
      </c>
      <c r="D26" s="54" t="s">
        <v>274</v>
      </c>
      <c r="E26" s="49" t="s">
        <v>275</v>
      </c>
      <c r="F26" s="54" t="s">
        <v>274</v>
      </c>
      <c r="G26" s="49" t="s">
        <v>17</v>
      </c>
      <c r="H26" s="49" t="s">
        <v>244</v>
      </c>
    </row>
    <row r="27" spans="1:9" hidden="1">
      <c r="A27" s="16">
        <v>50</v>
      </c>
      <c r="B27" s="16" t="str">
        <f>VLOOKUP(A27,'Indicadores PFGP'!A$2:$D$89,4,0)</f>
        <v>Percentual de cargos de liderança ocupados por mulheres</v>
      </c>
      <c r="C27" s="52" t="s">
        <v>280</v>
      </c>
      <c r="D27" s="54" t="s">
        <v>272</v>
      </c>
      <c r="E27" s="48" t="s">
        <v>276</v>
      </c>
      <c r="F27" s="54" t="s">
        <v>272</v>
      </c>
      <c r="G27" s="49" t="s">
        <v>17</v>
      </c>
      <c r="H27" s="49" t="s">
        <v>239</v>
      </c>
      <c r="I27" t="s">
        <v>240</v>
      </c>
    </row>
    <row r="28" spans="1:9" hidden="1">
      <c r="A28" s="16">
        <v>50</v>
      </c>
      <c r="B28" s="16" t="str">
        <f>VLOOKUP(A28,'Indicadores PFGP'!A$2:$D$89,4,0)</f>
        <v>Percentual de cargos de liderança ocupados por mulheres</v>
      </c>
      <c r="C28" s="52" t="s">
        <v>280</v>
      </c>
      <c r="D28" s="54" t="s">
        <v>274</v>
      </c>
      <c r="E28" s="48" t="s">
        <v>277</v>
      </c>
      <c r="F28" s="54" t="s">
        <v>278</v>
      </c>
      <c r="G28" s="49" t="s">
        <v>17</v>
      </c>
      <c r="H28" s="49" t="s">
        <v>239</v>
      </c>
      <c r="I28" t="s">
        <v>240</v>
      </c>
    </row>
    <row r="29" spans="1:9" hidden="1">
      <c r="A29" s="16">
        <v>50</v>
      </c>
      <c r="B29" s="16" t="str">
        <f>VLOOKUP(A29,'Indicadores PFGP'!A$2:$D$89,4,0)</f>
        <v>Percentual de cargos de liderança ocupados por mulheres</v>
      </c>
      <c r="C29" s="52" t="s">
        <v>280</v>
      </c>
      <c r="D29" s="54" t="s">
        <v>274</v>
      </c>
      <c r="E29" s="48" t="s">
        <v>279</v>
      </c>
      <c r="F29" s="54" t="s">
        <v>274</v>
      </c>
      <c r="G29" s="49" t="s">
        <v>17</v>
      </c>
      <c r="H29" s="49" t="s">
        <v>239</v>
      </c>
      <c r="I29" t="s">
        <v>240</v>
      </c>
    </row>
    <row r="30" spans="1:9">
      <c r="A30" s="16">
        <v>50</v>
      </c>
      <c r="B30" s="16" t="str">
        <f>VLOOKUP(A30,'Indicadores PFGP'!A$2:$D$89,4,0)</f>
        <v>Percentual de cargos de liderança ocupados por mulheres</v>
      </c>
      <c r="C30" s="52" t="s">
        <v>280</v>
      </c>
      <c r="D30" s="49" t="s">
        <v>259</v>
      </c>
      <c r="E30" s="49" t="s">
        <v>262</v>
      </c>
      <c r="F30" s="49" t="s">
        <v>259</v>
      </c>
      <c r="G30" s="49" t="s">
        <v>17</v>
      </c>
      <c r="H30" s="49" t="s">
        <v>244</v>
      </c>
    </row>
    <row r="31" spans="1:9" hidden="1">
      <c r="A31" s="16">
        <v>50</v>
      </c>
      <c r="B31" s="16" t="str">
        <f>VLOOKUP(A31,'Indicadores PFGP'!A$2:$D$89,4,0)</f>
        <v>Percentual de cargos de liderança ocupados por mulheres</v>
      </c>
      <c r="C31" s="52" t="s">
        <v>280</v>
      </c>
      <c r="D31" t="s">
        <v>259</v>
      </c>
      <c r="E31" s="49" t="s">
        <v>260</v>
      </c>
      <c r="F31" s="49" t="s">
        <v>261</v>
      </c>
      <c r="G31" s="49" t="s">
        <v>17</v>
      </c>
      <c r="H31" s="49" t="s">
        <v>239</v>
      </c>
      <c r="I31" t="s">
        <v>240</v>
      </c>
    </row>
    <row r="32" spans="1:9" ht="30">
      <c r="A32" s="16">
        <v>51</v>
      </c>
      <c r="B32" s="16" t="str">
        <f>VLOOKUP(A32,'Indicadores PFGP'!A$2:$D$89,4,0)</f>
        <v>Percentual de cargos de liderança ocupados por servidores estatutários</v>
      </c>
      <c r="C32" s="52" t="s">
        <v>281</v>
      </c>
      <c r="D32" s="54" t="s">
        <v>272</v>
      </c>
      <c r="E32" s="49" t="s">
        <v>273</v>
      </c>
      <c r="F32" s="54" t="s">
        <v>272</v>
      </c>
      <c r="G32" s="49" t="s">
        <v>17</v>
      </c>
      <c r="H32" s="49" t="s">
        <v>244</v>
      </c>
      <c r="I32" s="49"/>
    </row>
    <row r="33" spans="1:9" ht="30">
      <c r="A33" s="16">
        <v>51</v>
      </c>
      <c r="B33" s="16" t="str">
        <f>VLOOKUP(A33,'Indicadores PFGP'!A$2:$D$89,4,0)</f>
        <v>Percentual de cargos de liderança ocupados por servidores estatutários</v>
      </c>
      <c r="C33" s="52" t="s">
        <v>281</v>
      </c>
      <c r="D33" s="54" t="s">
        <v>274</v>
      </c>
      <c r="E33" s="49" t="s">
        <v>275</v>
      </c>
      <c r="F33" s="54" t="s">
        <v>274</v>
      </c>
      <c r="G33" s="49" t="s">
        <v>17</v>
      </c>
      <c r="H33" s="49" t="s">
        <v>244</v>
      </c>
      <c r="I33" s="49"/>
    </row>
    <row r="34" spans="1:9" ht="30" hidden="1">
      <c r="A34" s="16">
        <v>51</v>
      </c>
      <c r="B34" s="16" t="str">
        <f>VLOOKUP(A34,'Indicadores PFGP'!A$2:$D$89,4,0)</f>
        <v>Percentual de cargos de liderança ocupados por servidores estatutários</v>
      </c>
      <c r="C34" s="52" t="s">
        <v>281</v>
      </c>
      <c r="D34" s="54" t="s">
        <v>272</v>
      </c>
      <c r="E34" s="48" t="s">
        <v>276</v>
      </c>
      <c r="F34" s="54" t="s">
        <v>272</v>
      </c>
      <c r="G34" s="49" t="s">
        <v>17</v>
      </c>
      <c r="H34" s="49" t="s">
        <v>239</v>
      </c>
      <c r="I34" t="s">
        <v>240</v>
      </c>
    </row>
    <row r="35" spans="1:9" ht="30" hidden="1">
      <c r="A35" s="16">
        <v>51</v>
      </c>
      <c r="B35" s="16" t="str">
        <f>VLOOKUP(A35,'Indicadores PFGP'!A$2:$D$89,4,0)</f>
        <v>Percentual de cargos de liderança ocupados por servidores estatutários</v>
      </c>
      <c r="C35" s="52" t="s">
        <v>281</v>
      </c>
      <c r="D35" s="54" t="s">
        <v>274</v>
      </c>
      <c r="E35" s="48" t="s">
        <v>277</v>
      </c>
      <c r="F35" s="54" t="s">
        <v>278</v>
      </c>
      <c r="G35" s="49" t="s">
        <v>17</v>
      </c>
      <c r="H35" s="49" t="s">
        <v>239</v>
      </c>
      <c r="I35" t="s">
        <v>240</v>
      </c>
    </row>
    <row r="36" spans="1:9" ht="30" hidden="1">
      <c r="A36" s="16">
        <v>51</v>
      </c>
      <c r="B36" s="16" t="str">
        <f>VLOOKUP(A36,'Indicadores PFGP'!A$2:$D$89,4,0)</f>
        <v>Percentual de cargos de liderança ocupados por servidores estatutários</v>
      </c>
      <c r="C36" s="52" t="s">
        <v>281</v>
      </c>
      <c r="D36" s="54" t="s">
        <v>274</v>
      </c>
      <c r="E36" s="48" t="s">
        <v>279</v>
      </c>
      <c r="F36" s="54" t="s">
        <v>274</v>
      </c>
      <c r="G36" s="49" t="s">
        <v>17</v>
      </c>
      <c r="H36" s="49" t="s">
        <v>239</v>
      </c>
      <c r="I36" t="s">
        <v>240</v>
      </c>
    </row>
    <row r="37" spans="1:9" ht="30" hidden="1">
      <c r="A37" s="16">
        <v>51</v>
      </c>
      <c r="B37" s="16" t="str">
        <f>VLOOKUP(A37,'Indicadores PFGP'!A$2:$D$89,4,0)</f>
        <v>Percentual de cargos de liderança ocupados por servidores estatutários</v>
      </c>
      <c r="C37" s="52" t="s">
        <v>281</v>
      </c>
      <c r="D37" s="54" t="s">
        <v>282</v>
      </c>
      <c r="E37" s="48" t="s">
        <v>283</v>
      </c>
      <c r="F37" s="54" t="s">
        <v>282</v>
      </c>
      <c r="G37" s="49" t="s">
        <v>17</v>
      </c>
      <c r="H37" s="49" t="s">
        <v>239</v>
      </c>
      <c r="I37" t="s">
        <v>240</v>
      </c>
    </row>
    <row r="38" spans="1:9" ht="30" hidden="1">
      <c r="A38" s="16">
        <v>51</v>
      </c>
      <c r="B38" s="16" t="str">
        <f>VLOOKUP(A38,'Indicadores PFGP'!A$2:$D$89,4,0)</f>
        <v>Percentual de cargos de liderança ocupados por servidores estatutários</v>
      </c>
      <c r="C38" s="52" t="s">
        <v>281</v>
      </c>
      <c r="D38" s="54" t="s">
        <v>284</v>
      </c>
      <c r="E38" s="48" t="s">
        <v>285</v>
      </c>
      <c r="F38" s="54" t="s">
        <v>286</v>
      </c>
      <c r="G38" s="49" t="s">
        <v>17</v>
      </c>
      <c r="H38" s="49" t="s">
        <v>239</v>
      </c>
      <c r="I38" t="s">
        <v>240</v>
      </c>
    </row>
    <row r="39" spans="1:9" ht="30">
      <c r="A39" s="51">
        <v>52</v>
      </c>
      <c r="B39" s="51" t="s">
        <v>287</v>
      </c>
      <c r="C39" s="53" t="s">
        <v>287</v>
      </c>
      <c r="D39" s="54" t="s">
        <v>272</v>
      </c>
      <c r="E39" s="49" t="s">
        <v>273</v>
      </c>
      <c r="F39" s="54" t="s">
        <v>272</v>
      </c>
      <c r="G39" s="49" t="s">
        <v>17</v>
      </c>
      <c r="H39" s="49" t="s">
        <v>244</v>
      </c>
    </row>
    <row r="40" spans="1:9" ht="30">
      <c r="A40" s="51">
        <v>52</v>
      </c>
      <c r="B40" s="51" t="s">
        <v>287</v>
      </c>
      <c r="C40" s="53" t="s">
        <v>287</v>
      </c>
      <c r="D40" s="54" t="s">
        <v>274</v>
      </c>
      <c r="E40" s="49" t="s">
        <v>275</v>
      </c>
      <c r="F40" s="54" t="s">
        <v>274</v>
      </c>
      <c r="G40" s="49" t="s">
        <v>17</v>
      </c>
      <c r="H40" s="49" t="s">
        <v>244</v>
      </c>
    </row>
    <row r="41" spans="1:9" ht="30" hidden="1">
      <c r="A41" s="51">
        <v>52</v>
      </c>
      <c r="B41" s="51" t="s">
        <v>287</v>
      </c>
      <c r="C41" s="53" t="s">
        <v>287</v>
      </c>
      <c r="D41" s="54" t="s">
        <v>272</v>
      </c>
      <c r="E41" s="48" t="s">
        <v>276</v>
      </c>
      <c r="F41" s="54" t="s">
        <v>272</v>
      </c>
      <c r="G41" s="49" t="s">
        <v>17</v>
      </c>
      <c r="H41" s="49" t="s">
        <v>239</v>
      </c>
      <c r="I41" t="s">
        <v>240</v>
      </c>
    </row>
    <row r="42" spans="1:9" ht="30" hidden="1">
      <c r="A42" s="51">
        <v>52</v>
      </c>
      <c r="B42" s="51" t="s">
        <v>287</v>
      </c>
      <c r="C42" s="53" t="s">
        <v>287</v>
      </c>
      <c r="D42" s="54" t="s">
        <v>274</v>
      </c>
      <c r="E42" s="48" t="s">
        <v>277</v>
      </c>
      <c r="F42" s="54" t="s">
        <v>278</v>
      </c>
      <c r="G42" s="49" t="s">
        <v>17</v>
      </c>
      <c r="H42" s="49" t="s">
        <v>239</v>
      </c>
      <c r="I42" t="s">
        <v>240</v>
      </c>
    </row>
    <row r="43" spans="1:9" ht="30" hidden="1">
      <c r="A43" s="51">
        <v>52</v>
      </c>
      <c r="B43" s="51" t="s">
        <v>287</v>
      </c>
      <c r="C43" s="53" t="s">
        <v>287</v>
      </c>
      <c r="D43" s="54" t="s">
        <v>274</v>
      </c>
      <c r="E43" s="48" t="s">
        <v>279</v>
      </c>
      <c r="F43" s="54" t="s">
        <v>274</v>
      </c>
      <c r="G43" s="49" t="s">
        <v>17</v>
      </c>
      <c r="H43" s="49" t="s">
        <v>239</v>
      </c>
      <c r="I43" t="s">
        <v>240</v>
      </c>
    </row>
    <row r="44" spans="1:9" ht="30">
      <c r="A44" s="51">
        <v>52</v>
      </c>
      <c r="B44" s="51" t="s">
        <v>287</v>
      </c>
      <c r="C44" s="53" t="s">
        <v>287</v>
      </c>
      <c r="D44" t="s">
        <v>263</v>
      </c>
      <c r="E44" s="49" t="s">
        <v>268</v>
      </c>
      <c r="F44" s="49" t="s">
        <v>265</v>
      </c>
      <c r="G44" s="49" t="s">
        <v>17</v>
      </c>
      <c r="H44" s="49" t="s">
        <v>244</v>
      </c>
    </row>
    <row r="45" spans="1:9" ht="30" hidden="1">
      <c r="A45" s="51">
        <v>52</v>
      </c>
      <c r="B45" s="51" t="s">
        <v>287</v>
      </c>
      <c r="C45" s="53" t="s">
        <v>287</v>
      </c>
      <c r="D45" t="s">
        <v>263</v>
      </c>
      <c r="E45" s="49" t="s">
        <v>266</v>
      </c>
      <c r="F45" s="49" t="s">
        <v>267</v>
      </c>
      <c r="G45" s="49" t="s">
        <v>17</v>
      </c>
      <c r="H45" s="49" t="s">
        <v>239</v>
      </c>
      <c r="I45" t="s">
        <v>240</v>
      </c>
    </row>
    <row r="46" spans="1:9" ht="45">
      <c r="A46" s="16">
        <v>31</v>
      </c>
      <c r="B46" s="16" t="str">
        <f>VLOOKUP(A46,'Indicadores PFGP'!A$2:$D$89,4,0)</f>
        <v>equidade de distribuição dos servidores públicos, vis a vis distribuição demográfica na população, por: 1) gênero; 2) raça; 3) origem territorial; 4) faixa etária</v>
      </c>
      <c r="C46" s="52" t="s">
        <v>41</v>
      </c>
      <c r="D46" s="49" t="s">
        <v>256</v>
      </c>
      <c r="E46" s="49" t="s">
        <v>258</v>
      </c>
      <c r="F46" s="49" t="s">
        <v>256</v>
      </c>
      <c r="G46" s="49" t="s">
        <v>17</v>
      </c>
      <c r="H46" s="49" t="s">
        <v>244</v>
      </c>
    </row>
    <row r="47" spans="1:9" ht="45" hidden="1">
      <c r="A47" s="16">
        <v>31</v>
      </c>
      <c r="B47" s="16" t="str">
        <f>VLOOKUP(A47,'Indicadores PFGP'!A$2:$D$89,4,0)</f>
        <v>equidade de distribuição dos servidores públicos, vis a vis distribuição demográfica na população, por: 1) gênero; 2) raça; 3) origem territorial; 4) faixa etária</v>
      </c>
      <c r="C47" s="52" t="s">
        <v>41</v>
      </c>
      <c r="D47" s="49" t="s">
        <v>256</v>
      </c>
      <c r="E47" s="49" t="s">
        <v>257</v>
      </c>
      <c r="F47" s="49" t="s">
        <v>256</v>
      </c>
      <c r="G47" s="49" t="s">
        <v>17</v>
      </c>
      <c r="H47" s="49" t="s">
        <v>239</v>
      </c>
      <c r="I47" t="s">
        <v>240</v>
      </c>
    </row>
    <row r="48" spans="1:9" ht="45">
      <c r="A48" s="16">
        <v>31</v>
      </c>
      <c r="B48" s="16" t="str">
        <f>VLOOKUP(A48,'Indicadores PFGP'!A$2:$D$89,4,0)</f>
        <v>equidade de distribuição dos servidores públicos, vis a vis distribuição demográfica na população, por: 1) gênero; 2) raça; 3) origem territorial; 4) faixa etária</v>
      </c>
      <c r="C48" s="52" t="s">
        <v>41</v>
      </c>
      <c r="D48" s="49" t="s">
        <v>259</v>
      </c>
      <c r="E48" s="49" t="s">
        <v>262</v>
      </c>
      <c r="F48" s="49" t="s">
        <v>259</v>
      </c>
      <c r="G48" s="49" t="s">
        <v>17</v>
      </c>
      <c r="H48" s="49" t="s">
        <v>244</v>
      </c>
    </row>
    <row r="49" spans="1:9" ht="45" hidden="1">
      <c r="A49" s="16">
        <v>31</v>
      </c>
      <c r="B49" s="16" t="str">
        <f>VLOOKUP(A49,'Indicadores PFGP'!A$2:$D$89,4,0)</f>
        <v>equidade de distribuição dos servidores públicos, vis a vis distribuição demográfica na população, por: 1) gênero; 2) raça; 3) origem territorial; 4) faixa etária</v>
      </c>
      <c r="C49" s="52" t="s">
        <v>41</v>
      </c>
      <c r="D49" t="s">
        <v>259</v>
      </c>
      <c r="E49" s="49" t="s">
        <v>260</v>
      </c>
      <c r="F49" s="49" t="s">
        <v>261</v>
      </c>
      <c r="G49" s="49" t="s">
        <v>17</v>
      </c>
      <c r="H49" s="49" t="s">
        <v>239</v>
      </c>
      <c r="I49" t="s">
        <v>240</v>
      </c>
    </row>
    <row r="50" spans="1:9" ht="45">
      <c r="A50" s="16">
        <v>31</v>
      </c>
      <c r="B50" s="16" t="str">
        <f>VLOOKUP(A50,'Indicadores PFGP'!A$2:$D$89,4,0)</f>
        <v>equidade de distribuição dos servidores públicos, vis a vis distribuição demográfica na população, por: 1) gênero; 2) raça; 3) origem territorial; 4) faixa etária</v>
      </c>
      <c r="C50" s="52" t="s">
        <v>41</v>
      </c>
      <c r="D50" t="s">
        <v>263</v>
      </c>
      <c r="E50" s="49" t="s">
        <v>268</v>
      </c>
      <c r="F50" s="49" t="s">
        <v>265</v>
      </c>
      <c r="G50" s="49" t="s">
        <v>17</v>
      </c>
      <c r="H50" s="49" t="s">
        <v>244</v>
      </c>
    </row>
    <row r="51" spans="1:9" ht="45" hidden="1">
      <c r="A51" s="16">
        <v>31</v>
      </c>
      <c r="B51" s="16" t="str">
        <f>VLOOKUP(A51,'Indicadores PFGP'!A$2:$D$89,4,0)</f>
        <v>equidade de distribuição dos servidores públicos, vis a vis distribuição demográfica na população, por: 1) gênero; 2) raça; 3) origem territorial; 4) faixa etária</v>
      </c>
      <c r="C51" s="52" t="s">
        <v>41</v>
      </c>
      <c r="D51" t="s">
        <v>263</v>
      </c>
      <c r="E51" s="49" t="s">
        <v>266</v>
      </c>
      <c r="F51" s="49" t="s">
        <v>267</v>
      </c>
      <c r="G51" s="49" t="s">
        <v>17</v>
      </c>
      <c r="H51" s="49" t="s">
        <v>239</v>
      </c>
      <c r="I51" t="s">
        <v>240</v>
      </c>
    </row>
    <row r="52" spans="1:9" ht="45">
      <c r="A52" s="16">
        <v>31</v>
      </c>
      <c r="B52" s="16" t="str">
        <f>VLOOKUP(A52,'Indicadores PFGP'!A$2:$D$89,4,0)</f>
        <v>equidade de distribuição dos servidores públicos, vis a vis distribuição demográfica na população, por: 1) gênero; 2) raça; 3) origem territorial; 4) faixa etária</v>
      </c>
      <c r="C52" s="52" t="s">
        <v>41</v>
      </c>
      <c r="D52" s="49" t="s">
        <v>288</v>
      </c>
      <c r="E52" s="49" t="s">
        <v>289</v>
      </c>
      <c r="F52" s="49" t="s">
        <v>288</v>
      </c>
      <c r="G52" s="49" t="s">
        <v>17</v>
      </c>
      <c r="H52" s="49" t="s">
        <v>244</v>
      </c>
    </row>
    <row r="53" spans="1:9" ht="45" hidden="1">
      <c r="A53" s="16">
        <v>31</v>
      </c>
      <c r="B53" s="16" t="str">
        <f>VLOOKUP(A53,'Indicadores PFGP'!A$2:$D$89,4,0)</f>
        <v>equidade de distribuição dos servidores públicos, vis a vis distribuição demográfica na população, por: 1) gênero; 2) raça; 3) origem territorial; 4) faixa etária</v>
      </c>
      <c r="C53" s="52" t="s">
        <v>41</v>
      </c>
      <c r="D53" s="49" t="s">
        <v>288</v>
      </c>
      <c r="E53" s="48" t="s">
        <v>290</v>
      </c>
      <c r="F53" s="49" t="s">
        <v>288</v>
      </c>
      <c r="G53" s="49" t="s">
        <v>17</v>
      </c>
      <c r="H53" s="49" t="s">
        <v>239</v>
      </c>
      <c r="I53" t="s">
        <v>240</v>
      </c>
    </row>
    <row r="54" spans="1:9" ht="45" hidden="1">
      <c r="A54" s="50">
        <v>33</v>
      </c>
      <c r="B54" s="16" t="str">
        <f>VLOOKUP(A54,'Indicadores PFGP'!A$2:$D$89,4,0)</f>
        <v>Distribuição observada por forma de provimento (estatutário, temporário, emprego público, comissionado)</v>
      </c>
      <c r="C54" s="52" t="s">
        <v>291</v>
      </c>
      <c r="D54" s="54" t="s">
        <v>292</v>
      </c>
      <c r="E54" s="48" t="s">
        <v>293</v>
      </c>
      <c r="F54" s="54" t="s">
        <v>292</v>
      </c>
      <c r="G54" s="49" t="s">
        <v>17</v>
      </c>
      <c r="H54" s="49" t="s">
        <v>239</v>
      </c>
      <c r="I54" t="s">
        <v>240</v>
      </c>
    </row>
    <row r="55" spans="1:9" hidden="1">
      <c r="A55" s="16">
        <v>18</v>
      </c>
      <c r="B55" s="16" t="str">
        <f>VLOOKUP(A55,'Indicadores PFGP'!A$2:$D$89,4,0)</f>
        <v xml:space="preserve">Percentual de órgãos e entidades com PGD implementado. </v>
      </c>
      <c r="C55" s="52" t="s">
        <v>176</v>
      </c>
      <c r="D55" s="54" t="s">
        <v>294</v>
      </c>
      <c r="E55" s="48" t="s">
        <v>295</v>
      </c>
      <c r="F55" s="54" t="s">
        <v>296</v>
      </c>
      <c r="G55" s="49" t="s">
        <v>17</v>
      </c>
      <c r="H55" s="49" t="s">
        <v>239</v>
      </c>
      <c r="I55" t="s">
        <v>297</v>
      </c>
    </row>
    <row r="56" spans="1:9" ht="30" hidden="1">
      <c r="A56" s="16">
        <v>19</v>
      </c>
      <c r="B56" s="16" t="str">
        <f>VLOOKUP(A56,'Indicadores PFGP'!A$2:$D$89,4,0)</f>
        <v>Percentual de servidores abrangidos por planos de trabalho pactuados por entregas (PGD)</v>
      </c>
      <c r="C56" s="52" t="s">
        <v>179</v>
      </c>
      <c r="D56" s="54" t="s">
        <v>294</v>
      </c>
      <c r="E56" s="48" t="s">
        <v>295</v>
      </c>
      <c r="F56" s="54" t="s">
        <v>296</v>
      </c>
      <c r="G56" s="49" t="s">
        <v>17</v>
      </c>
      <c r="H56" s="49" t="s">
        <v>239</v>
      </c>
      <c r="I56" t="s">
        <v>297</v>
      </c>
    </row>
    <row r="57" spans="1:9" hidden="1">
      <c r="A57" s="51">
        <v>58</v>
      </c>
      <c r="B57" s="16" t="str">
        <f>VLOOKUP(A57,'Indicadores PFGP'!A$2:$D$89,4,0)</f>
        <v>Percentual do número de cargos em carreiras transversais</v>
      </c>
      <c r="C57" s="52" t="s">
        <v>298</v>
      </c>
      <c r="D57" s="49" t="s">
        <v>299</v>
      </c>
      <c r="E57" s="49" t="s">
        <v>300</v>
      </c>
      <c r="F57" s="49" t="s">
        <v>301</v>
      </c>
      <c r="G57" s="49" t="s">
        <v>17</v>
      </c>
      <c r="H57" s="49" t="s">
        <v>239</v>
      </c>
      <c r="I57" t="s">
        <v>240</v>
      </c>
    </row>
    <row r="58" spans="1:9" hidden="1">
      <c r="A58" s="51">
        <v>58</v>
      </c>
      <c r="B58" s="16" t="str">
        <f>VLOOKUP(A58,'Indicadores PFGP'!A$2:$D$89,4,0)</f>
        <v>Percentual do número de cargos em carreiras transversais</v>
      </c>
      <c r="C58" s="52" t="s">
        <v>298</v>
      </c>
      <c r="D58" s="49" t="s">
        <v>299</v>
      </c>
      <c r="E58" s="49" t="s">
        <v>302</v>
      </c>
      <c r="F58" s="49" t="s">
        <v>303</v>
      </c>
      <c r="G58" s="49" t="s">
        <v>17</v>
      </c>
      <c r="H58" s="49" t="s">
        <v>239</v>
      </c>
      <c r="I58" t="s">
        <v>240</v>
      </c>
    </row>
    <row r="59" spans="1:9" hidden="1">
      <c r="A59" s="51">
        <v>58</v>
      </c>
      <c r="B59" s="16" t="str">
        <f>VLOOKUP(A59,'Indicadores PFGP'!A$2:$D$89,4,0)</f>
        <v>Percentual do número de cargos em carreiras transversais</v>
      </c>
      <c r="C59" s="52" t="s">
        <v>298</v>
      </c>
      <c r="D59" s="49" t="s">
        <v>299</v>
      </c>
      <c r="E59" s="48" t="s">
        <v>304</v>
      </c>
      <c r="F59" s="54" t="s">
        <v>305</v>
      </c>
      <c r="G59" s="49" t="s">
        <v>17</v>
      </c>
      <c r="H59" s="49" t="s">
        <v>239</v>
      </c>
      <c r="I59" t="s">
        <v>240</v>
      </c>
    </row>
    <row r="60" spans="1:9" hidden="1">
      <c r="A60" s="51">
        <v>58</v>
      </c>
      <c r="B60" s="16" t="str">
        <f>VLOOKUP(A60,'Indicadores PFGP'!A$2:$D$89,4,0)</f>
        <v>Percentual do número de cargos em carreiras transversais</v>
      </c>
      <c r="C60" s="52" t="s">
        <v>298</v>
      </c>
      <c r="D60" s="49" t="s">
        <v>299</v>
      </c>
      <c r="E60" s="48" t="s">
        <v>306</v>
      </c>
      <c r="F60" s="54" t="s">
        <v>307</v>
      </c>
      <c r="G60" s="49" t="s">
        <v>17</v>
      </c>
      <c r="H60" s="49" t="s">
        <v>239</v>
      </c>
      <c r="I60" t="s">
        <v>240</v>
      </c>
    </row>
    <row r="61" spans="1:9" hidden="1">
      <c r="A61" s="51">
        <v>58</v>
      </c>
      <c r="B61" s="16" t="str">
        <f>VLOOKUP(A61,'Indicadores PFGP'!A$2:$D$89,4,0)</f>
        <v>Percentual do número de cargos em carreiras transversais</v>
      </c>
      <c r="C61" s="52" t="s">
        <v>298</v>
      </c>
      <c r="D61" s="49" t="s">
        <v>299</v>
      </c>
      <c r="E61" s="48" t="s">
        <v>283</v>
      </c>
      <c r="F61" s="54" t="s">
        <v>282</v>
      </c>
      <c r="G61" s="49" t="s">
        <v>17</v>
      </c>
      <c r="H61" s="49" t="s">
        <v>239</v>
      </c>
      <c r="I61" t="s">
        <v>240</v>
      </c>
    </row>
    <row r="62" spans="1:9" hidden="1">
      <c r="A62" s="51">
        <v>59</v>
      </c>
      <c r="B62" s="16" t="str">
        <f>VLOOKUP(A62,'Indicadores PFGP'!A$2:$D$89,4,0)</f>
        <v>Percentual de servidores ativos em carreiras transversais</v>
      </c>
      <c r="C62" s="52" t="s">
        <v>308</v>
      </c>
      <c r="D62" s="49" t="s">
        <v>299</v>
      </c>
      <c r="E62" s="49" t="s">
        <v>300</v>
      </c>
      <c r="F62" s="49" t="s">
        <v>301</v>
      </c>
      <c r="G62" s="49" t="s">
        <v>17</v>
      </c>
      <c r="H62" s="49" t="s">
        <v>239</v>
      </c>
      <c r="I62" t="s">
        <v>240</v>
      </c>
    </row>
    <row r="63" spans="1:9" hidden="1">
      <c r="A63" s="51">
        <v>59</v>
      </c>
      <c r="B63" s="16" t="str">
        <f>VLOOKUP(A63,'Indicadores PFGP'!A$2:$D$89,4,0)</f>
        <v>Percentual de servidores ativos em carreiras transversais</v>
      </c>
      <c r="C63" s="52" t="s">
        <v>308</v>
      </c>
      <c r="D63" s="49" t="s">
        <v>299</v>
      </c>
      <c r="E63" s="49" t="s">
        <v>302</v>
      </c>
      <c r="F63" s="49" t="s">
        <v>303</v>
      </c>
      <c r="G63" s="49" t="s">
        <v>17</v>
      </c>
      <c r="H63" s="49" t="s">
        <v>239</v>
      </c>
      <c r="I63" t="s">
        <v>240</v>
      </c>
    </row>
    <row r="64" spans="1:9" hidden="1">
      <c r="A64" s="51">
        <v>59</v>
      </c>
      <c r="B64" s="16" t="str">
        <f>VLOOKUP(A64,'Indicadores PFGP'!A$2:$D$89,4,0)</f>
        <v>Percentual de servidores ativos em carreiras transversais</v>
      </c>
      <c r="C64" s="52" t="s">
        <v>308</v>
      </c>
      <c r="D64" s="49" t="s">
        <v>299</v>
      </c>
      <c r="E64" s="48" t="s">
        <v>304</v>
      </c>
      <c r="F64" s="54" t="s">
        <v>305</v>
      </c>
      <c r="G64" s="49" t="s">
        <v>17</v>
      </c>
      <c r="H64" s="49" t="s">
        <v>239</v>
      </c>
      <c r="I64" t="s">
        <v>240</v>
      </c>
    </row>
    <row r="65" spans="1:9" hidden="1">
      <c r="A65" s="51">
        <v>59</v>
      </c>
      <c r="B65" s="16" t="str">
        <f>VLOOKUP(A65,'Indicadores PFGP'!A$2:$D$89,4,0)</f>
        <v>Percentual de servidores ativos em carreiras transversais</v>
      </c>
      <c r="C65" s="52" t="s">
        <v>308</v>
      </c>
      <c r="D65" s="49" t="s">
        <v>299</v>
      </c>
      <c r="E65" s="48" t="s">
        <v>306</v>
      </c>
      <c r="F65" s="54" t="s">
        <v>307</v>
      </c>
      <c r="G65" s="49" t="s">
        <v>17</v>
      </c>
      <c r="H65" s="49" t="s">
        <v>239</v>
      </c>
      <c r="I65" t="s">
        <v>240</v>
      </c>
    </row>
    <row r="66" spans="1:9" hidden="1">
      <c r="A66" s="51">
        <v>59</v>
      </c>
      <c r="B66" s="16" t="str">
        <f>VLOOKUP(A66,'Indicadores PFGP'!A$2:$D$89,4,0)</f>
        <v>Percentual de servidores ativos em carreiras transversais</v>
      </c>
      <c r="C66" s="52" t="s">
        <v>308</v>
      </c>
      <c r="D66" s="49" t="s">
        <v>299</v>
      </c>
      <c r="E66" s="48" t="s">
        <v>283</v>
      </c>
      <c r="F66" s="54" t="s">
        <v>282</v>
      </c>
      <c r="G66" s="49" t="s">
        <v>17</v>
      </c>
      <c r="H66" s="49" t="s">
        <v>239</v>
      </c>
      <c r="I66" t="s">
        <v>240</v>
      </c>
    </row>
    <row r="67" spans="1:9" ht="30" hidden="1">
      <c r="A67" s="51">
        <v>60</v>
      </c>
      <c r="B67" s="16" t="str">
        <f>VLOOKUP(A67,'Indicadores PFGP'!A$2:$D$89,4,0)</f>
        <v>Percentual de servidoras mulheres em carreiras transversais / não transversais / total</v>
      </c>
      <c r="C67" s="52" t="s">
        <v>309</v>
      </c>
      <c r="D67" s="49" t="s">
        <v>299</v>
      </c>
      <c r="E67" s="49" t="s">
        <v>300</v>
      </c>
      <c r="F67" s="49" t="s">
        <v>301</v>
      </c>
      <c r="G67" s="49" t="s">
        <v>17</v>
      </c>
      <c r="H67" s="49" t="s">
        <v>239</v>
      </c>
      <c r="I67" t="s">
        <v>240</v>
      </c>
    </row>
    <row r="68" spans="1:9" ht="30" hidden="1">
      <c r="A68" s="51">
        <v>60</v>
      </c>
      <c r="B68" s="16" t="str">
        <f>VLOOKUP(A68,'Indicadores PFGP'!A$2:$D$89,4,0)</f>
        <v>Percentual de servidoras mulheres em carreiras transversais / não transversais / total</v>
      </c>
      <c r="C68" s="52" t="s">
        <v>309</v>
      </c>
      <c r="D68" s="49" t="s">
        <v>299</v>
      </c>
      <c r="E68" s="49" t="s">
        <v>302</v>
      </c>
      <c r="F68" s="49" t="s">
        <v>303</v>
      </c>
      <c r="G68" s="49" t="s">
        <v>17</v>
      </c>
      <c r="H68" s="49" t="s">
        <v>239</v>
      </c>
      <c r="I68" t="s">
        <v>240</v>
      </c>
    </row>
    <row r="69" spans="1:9" ht="30" hidden="1">
      <c r="A69" s="51">
        <v>60</v>
      </c>
      <c r="B69" s="16" t="str">
        <f>VLOOKUP(A69,'Indicadores PFGP'!A$2:$D$89,4,0)</f>
        <v>Percentual de servidoras mulheres em carreiras transversais / não transversais / total</v>
      </c>
      <c r="C69" s="52" t="s">
        <v>309</v>
      </c>
      <c r="D69" s="49" t="s">
        <v>299</v>
      </c>
      <c r="E69" s="48" t="s">
        <v>304</v>
      </c>
      <c r="F69" s="54" t="s">
        <v>305</v>
      </c>
      <c r="G69" s="49" t="s">
        <v>17</v>
      </c>
      <c r="H69" s="49" t="s">
        <v>239</v>
      </c>
      <c r="I69" t="s">
        <v>240</v>
      </c>
    </row>
    <row r="70" spans="1:9" ht="30" hidden="1">
      <c r="A70" s="51">
        <v>60</v>
      </c>
      <c r="B70" s="16" t="str">
        <f>VLOOKUP(A70,'Indicadores PFGP'!A$2:$D$89,4,0)</f>
        <v>Percentual de servidoras mulheres em carreiras transversais / não transversais / total</v>
      </c>
      <c r="C70" s="52" t="s">
        <v>309</v>
      </c>
      <c r="D70" s="49" t="s">
        <v>299</v>
      </c>
      <c r="E70" s="48" t="s">
        <v>306</v>
      </c>
      <c r="F70" s="54" t="s">
        <v>307</v>
      </c>
      <c r="G70" s="49" t="s">
        <v>17</v>
      </c>
      <c r="H70" s="49" t="s">
        <v>239</v>
      </c>
      <c r="I70" t="s">
        <v>240</v>
      </c>
    </row>
    <row r="71" spans="1:9" ht="30" hidden="1">
      <c r="A71" s="51">
        <v>60</v>
      </c>
      <c r="B71" s="16" t="str">
        <f>VLOOKUP(A71,'Indicadores PFGP'!A$2:$D$89,4,0)</f>
        <v>Percentual de servidoras mulheres em carreiras transversais / não transversais / total</v>
      </c>
      <c r="C71" s="52" t="s">
        <v>309</v>
      </c>
      <c r="D71" s="49" t="s">
        <v>299</v>
      </c>
      <c r="E71" s="48" t="s">
        <v>283</v>
      </c>
      <c r="F71" s="54" t="s">
        <v>282</v>
      </c>
      <c r="G71" s="49" t="s">
        <v>17</v>
      </c>
      <c r="H71" s="49" t="s">
        <v>239</v>
      </c>
      <c r="I71" t="s">
        <v>240</v>
      </c>
    </row>
    <row r="72" spans="1:9" ht="30">
      <c r="A72" s="51">
        <v>60</v>
      </c>
      <c r="B72" s="16" t="str">
        <f>VLOOKUP(A72,'Indicadores PFGP'!A$2:$D$89,4,0)</f>
        <v>Percentual de servidoras mulheres em carreiras transversais / não transversais / total</v>
      </c>
      <c r="C72" s="52" t="s">
        <v>309</v>
      </c>
      <c r="D72" s="49" t="s">
        <v>259</v>
      </c>
      <c r="E72" s="49" t="s">
        <v>262</v>
      </c>
      <c r="F72" s="49" t="s">
        <v>259</v>
      </c>
      <c r="G72" s="49" t="s">
        <v>17</v>
      </c>
      <c r="H72" s="49" t="s">
        <v>244</v>
      </c>
    </row>
    <row r="73" spans="1:9" ht="30" hidden="1">
      <c r="A73" s="51">
        <v>60</v>
      </c>
      <c r="B73" s="16" t="str">
        <f>VLOOKUP(A73,'Indicadores PFGP'!A$2:$D$89,4,0)</f>
        <v>Percentual de servidoras mulheres em carreiras transversais / não transversais / total</v>
      </c>
      <c r="C73" s="52" t="s">
        <v>309</v>
      </c>
      <c r="D73" t="s">
        <v>259</v>
      </c>
      <c r="E73" s="49" t="s">
        <v>260</v>
      </c>
      <c r="F73" s="49" t="s">
        <v>261</v>
      </c>
      <c r="G73" s="49" t="s">
        <v>17</v>
      </c>
      <c r="H73" s="49" t="s">
        <v>239</v>
      </c>
      <c r="I73" t="s">
        <v>240</v>
      </c>
    </row>
    <row r="74" spans="1:9" ht="30" hidden="1">
      <c r="A74" s="51">
        <v>61</v>
      </c>
      <c r="B74" s="16" t="str">
        <f>VLOOKUP(A74,'Indicadores PFGP'!A$2:$D$89,4,0)</f>
        <v>Percentual de servidores negros em carreiras transversais / não transversais / total</v>
      </c>
      <c r="C74" s="52" t="s">
        <v>310</v>
      </c>
      <c r="D74" s="49" t="s">
        <v>299</v>
      </c>
      <c r="E74" s="49" t="s">
        <v>300</v>
      </c>
      <c r="F74" s="49" t="s">
        <v>301</v>
      </c>
      <c r="G74" s="49" t="s">
        <v>17</v>
      </c>
      <c r="H74" s="49" t="s">
        <v>239</v>
      </c>
      <c r="I74" t="s">
        <v>240</v>
      </c>
    </row>
    <row r="75" spans="1:9" ht="30" hidden="1">
      <c r="A75" s="51">
        <v>61</v>
      </c>
      <c r="B75" s="16" t="str">
        <f>VLOOKUP(A75,'Indicadores PFGP'!A$2:$D$89,4,0)</f>
        <v>Percentual de servidores negros em carreiras transversais / não transversais / total</v>
      </c>
      <c r="C75" s="52" t="s">
        <v>310</v>
      </c>
      <c r="D75" s="49" t="s">
        <v>299</v>
      </c>
      <c r="E75" s="49" t="s">
        <v>302</v>
      </c>
      <c r="F75" s="49" t="s">
        <v>303</v>
      </c>
      <c r="G75" s="49" t="s">
        <v>17</v>
      </c>
      <c r="H75" s="49" t="s">
        <v>239</v>
      </c>
      <c r="I75" t="s">
        <v>240</v>
      </c>
    </row>
    <row r="76" spans="1:9" ht="30" hidden="1">
      <c r="A76" s="51">
        <v>61</v>
      </c>
      <c r="B76" s="16" t="str">
        <f>VLOOKUP(A76,'Indicadores PFGP'!A$2:$D$89,4,0)</f>
        <v>Percentual de servidores negros em carreiras transversais / não transversais / total</v>
      </c>
      <c r="C76" s="52" t="s">
        <v>310</v>
      </c>
      <c r="D76" s="49" t="s">
        <v>299</v>
      </c>
      <c r="E76" s="48" t="s">
        <v>304</v>
      </c>
      <c r="F76" s="54" t="s">
        <v>305</v>
      </c>
      <c r="G76" s="49" t="s">
        <v>17</v>
      </c>
      <c r="H76" s="49" t="s">
        <v>239</v>
      </c>
      <c r="I76" t="s">
        <v>240</v>
      </c>
    </row>
    <row r="77" spans="1:9" ht="30" hidden="1">
      <c r="A77" s="51">
        <v>61</v>
      </c>
      <c r="B77" s="16" t="str">
        <f>VLOOKUP(A77,'Indicadores PFGP'!A$2:$D$89,4,0)</f>
        <v>Percentual de servidores negros em carreiras transversais / não transversais / total</v>
      </c>
      <c r="C77" s="52" t="s">
        <v>310</v>
      </c>
      <c r="D77" s="49" t="s">
        <v>299</v>
      </c>
      <c r="E77" s="48" t="s">
        <v>306</v>
      </c>
      <c r="F77" s="54" t="s">
        <v>307</v>
      </c>
      <c r="G77" s="49" t="s">
        <v>17</v>
      </c>
      <c r="H77" s="49" t="s">
        <v>239</v>
      </c>
      <c r="I77" t="s">
        <v>240</v>
      </c>
    </row>
    <row r="78" spans="1:9" ht="30" hidden="1">
      <c r="A78" s="51">
        <v>61</v>
      </c>
      <c r="B78" s="16" t="str">
        <f>VLOOKUP(A78,'Indicadores PFGP'!A$2:$D$89,4,0)</f>
        <v>Percentual de servidores negros em carreiras transversais / não transversais / total</v>
      </c>
      <c r="C78" s="52" t="s">
        <v>310</v>
      </c>
      <c r="D78" s="49" t="s">
        <v>299</v>
      </c>
      <c r="E78" s="48" t="s">
        <v>283</v>
      </c>
      <c r="F78" s="54" t="s">
        <v>282</v>
      </c>
      <c r="G78" s="49" t="s">
        <v>17</v>
      </c>
      <c r="H78" s="49" t="s">
        <v>239</v>
      </c>
      <c r="I78" t="s">
        <v>240</v>
      </c>
    </row>
    <row r="79" spans="1:9" ht="30">
      <c r="A79" s="51">
        <v>61</v>
      </c>
      <c r="B79" s="16" t="str">
        <f>VLOOKUP(A79,'Indicadores PFGP'!A$2:$D$89,4,0)</f>
        <v>Percentual de servidores negros em carreiras transversais / não transversais / total</v>
      </c>
      <c r="C79" s="52" t="s">
        <v>310</v>
      </c>
      <c r="D79" s="49" t="s">
        <v>256</v>
      </c>
      <c r="E79" s="49" t="s">
        <v>258</v>
      </c>
      <c r="F79" s="49" t="s">
        <v>256</v>
      </c>
      <c r="G79" s="49" t="s">
        <v>17</v>
      </c>
      <c r="H79" s="49" t="s">
        <v>244</v>
      </c>
    </row>
    <row r="80" spans="1:9" ht="30" hidden="1">
      <c r="A80" s="51">
        <v>61</v>
      </c>
      <c r="B80" s="16" t="str">
        <f>VLOOKUP(A80,'Indicadores PFGP'!A$2:$D$89,4,0)</f>
        <v>Percentual de servidores negros em carreiras transversais / não transversais / total</v>
      </c>
      <c r="C80" s="52" t="s">
        <v>310</v>
      </c>
      <c r="D80" s="49" t="s">
        <v>256</v>
      </c>
      <c r="E80" s="49" t="s">
        <v>257</v>
      </c>
      <c r="F80" s="49" t="s">
        <v>256</v>
      </c>
      <c r="G80" s="49" t="s">
        <v>17</v>
      </c>
      <c r="H80" s="49" t="s">
        <v>239</v>
      </c>
      <c r="I80" t="s">
        <v>240</v>
      </c>
    </row>
    <row r="81" spans="1:9" ht="30" hidden="1">
      <c r="A81" s="51">
        <v>62</v>
      </c>
      <c r="B81" s="16" t="str">
        <f>VLOOKUP(A81,'Indicadores PFGP'!A$2:$D$89,4,0)</f>
        <v>Percentual do número de cargos no PGPE e em Plano de Cargos Especiais (sem carreiras)</v>
      </c>
      <c r="C81" s="52" t="s">
        <v>311</v>
      </c>
      <c r="D81" s="49" t="s">
        <v>299</v>
      </c>
      <c r="E81" s="49" t="s">
        <v>300</v>
      </c>
      <c r="F81" s="49" t="s">
        <v>301</v>
      </c>
      <c r="G81" s="49" t="s">
        <v>17</v>
      </c>
      <c r="H81" s="49" t="s">
        <v>239</v>
      </c>
      <c r="I81" t="s">
        <v>240</v>
      </c>
    </row>
    <row r="82" spans="1:9" ht="30" hidden="1">
      <c r="A82" s="51">
        <v>62</v>
      </c>
      <c r="B82" s="16" t="str">
        <f>VLOOKUP(A82,'Indicadores PFGP'!A$2:$D$89,4,0)</f>
        <v>Percentual do número de cargos no PGPE e em Plano de Cargos Especiais (sem carreiras)</v>
      </c>
      <c r="C82" s="52" t="s">
        <v>311</v>
      </c>
      <c r="D82" s="49" t="s">
        <v>299</v>
      </c>
      <c r="E82" s="49" t="s">
        <v>302</v>
      </c>
      <c r="F82" s="49" t="s">
        <v>303</v>
      </c>
      <c r="G82" s="49" t="s">
        <v>17</v>
      </c>
      <c r="H82" s="49" t="s">
        <v>239</v>
      </c>
      <c r="I82" t="s">
        <v>240</v>
      </c>
    </row>
    <row r="83" spans="1:9" ht="30" hidden="1">
      <c r="A83" s="51">
        <v>62</v>
      </c>
      <c r="B83" s="16" t="str">
        <f>VLOOKUP(A83,'Indicadores PFGP'!A$2:$D$89,4,0)</f>
        <v>Percentual do número de cargos no PGPE e em Plano de Cargos Especiais (sem carreiras)</v>
      </c>
      <c r="C83" s="52" t="s">
        <v>311</v>
      </c>
      <c r="D83" s="49" t="s">
        <v>299</v>
      </c>
      <c r="E83" s="48" t="s">
        <v>304</v>
      </c>
      <c r="F83" s="54" t="s">
        <v>305</v>
      </c>
      <c r="G83" s="49" t="s">
        <v>17</v>
      </c>
      <c r="H83" s="49" t="s">
        <v>239</v>
      </c>
      <c r="I83" t="s">
        <v>240</v>
      </c>
    </row>
    <row r="84" spans="1:9" ht="30" hidden="1">
      <c r="A84" s="51">
        <v>62</v>
      </c>
      <c r="B84" s="16" t="str">
        <f>VLOOKUP(A84,'Indicadores PFGP'!A$2:$D$89,4,0)</f>
        <v>Percentual do número de cargos no PGPE e em Plano de Cargos Especiais (sem carreiras)</v>
      </c>
      <c r="C84" s="52" t="s">
        <v>311</v>
      </c>
      <c r="D84" s="49" t="s">
        <v>299</v>
      </c>
      <c r="E84" s="48" t="s">
        <v>306</v>
      </c>
      <c r="F84" s="54" t="s">
        <v>307</v>
      </c>
      <c r="G84" s="49" t="s">
        <v>17</v>
      </c>
      <c r="H84" s="49" t="s">
        <v>239</v>
      </c>
      <c r="I84" t="s">
        <v>240</v>
      </c>
    </row>
    <row r="85" spans="1:9" ht="30" hidden="1">
      <c r="A85" s="51">
        <v>62</v>
      </c>
      <c r="B85" s="16" t="str">
        <f>VLOOKUP(A85,'Indicadores PFGP'!A$2:$D$89,4,0)</f>
        <v>Percentual do número de cargos no PGPE e em Plano de Cargos Especiais (sem carreiras)</v>
      </c>
      <c r="C85" s="52" t="s">
        <v>311</v>
      </c>
      <c r="D85" s="49" t="s">
        <v>299</v>
      </c>
      <c r="E85" s="48" t="s">
        <v>283</v>
      </c>
      <c r="F85" s="54" t="s">
        <v>282</v>
      </c>
      <c r="G85" s="49" t="s">
        <v>17</v>
      </c>
      <c r="H85" s="49" t="s">
        <v>239</v>
      </c>
      <c r="I85" t="s">
        <v>240</v>
      </c>
    </row>
    <row r="86" spans="1:9" ht="30">
      <c r="A86" s="16">
        <v>51</v>
      </c>
      <c r="B86" s="16" t="s">
        <v>281</v>
      </c>
      <c r="C86" s="48" t="s">
        <v>283</v>
      </c>
      <c r="D86" s="54" t="s">
        <v>284</v>
      </c>
      <c r="E86" s="54" t="s">
        <v>312</v>
      </c>
      <c r="F86" s="48" t="s">
        <v>313</v>
      </c>
      <c r="G86" s="49" t="s">
        <v>17</v>
      </c>
      <c r="H86" s="48" t="s">
        <v>244</v>
      </c>
    </row>
    <row r="87" spans="1:9" ht="30">
      <c r="A87" s="16">
        <v>51</v>
      </c>
      <c r="B87" s="16" t="s">
        <v>281</v>
      </c>
      <c r="C87" s="48"/>
      <c r="D87" s="54" t="s">
        <v>284</v>
      </c>
      <c r="E87" s="54" t="s">
        <v>314</v>
      </c>
      <c r="F87" s="48" t="s">
        <v>286</v>
      </c>
      <c r="G87" s="49" t="s">
        <v>17</v>
      </c>
      <c r="H87" s="48" t="s">
        <v>244</v>
      </c>
    </row>
    <row r="88" spans="1:9" ht="30">
      <c r="A88" s="16">
        <v>51</v>
      </c>
      <c r="B88" s="16" t="s">
        <v>281</v>
      </c>
      <c r="C88" s="48"/>
      <c r="D88" s="54" t="s">
        <v>284</v>
      </c>
      <c r="E88" s="54" t="s">
        <v>315</v>
      </c>
      <c r="F88" s="48" t="s">
        <v>316</v>
      </c>
      <c r="G88" s="49" t="s">
        <v>17</v>
      </c>
      <c r="H88" s="48" t="s">
        <v>244</v>
      </c>
    </row>
    <row r="89" spans="1:9" ht="30">
      <c r="A89" s="16">
        <v>51</v>
      </c>
      <c r="B89" s="16" t="s">
        <v>281</v>
      </c>
      <c r="C89" s="48"/>
      <c r="D89" s="49" t="s">
        <v>299</v>
      </c>
      <c r="E89" s="54" t="s">
        <v>317</v>
      </c>
      <c r="F89" s="49" t="s">
        <v>303</v>
      </c>
      <c r="G89" s="49" t="s">
        <v>17</v>
      </c>
      <c r="H89" s="48" t="s">
        <v>244</v>
      </c>
    </row>
    <row r="90" spans="1:9" ht="30">
      <c r="A90" s="16">
        <v>51</v>
      </c>
      <c r="B90" s="16" t="s">
        <v>281</v>
      </c>
      <c r="C90" s="48"/>
      <c r="D90" s="49" t="s">
        <v>299</v>
      </c>
      <c r="E90" s="54" t="s">
        <v>318</v>
      </c>
      <c r="F90" s="48" t="s">
        <v>282</v>
      </c>
      <c r="G90" s="49" t="s">
        <v>17</v>
      </c>
      <c r="H90" s="48" t="s">
        <v>244</v>
      </c>
    </row>
    <row r="91" spans="1:9" ht="30">
      <c r="A91" s="16">
        <v>51</v>
      </c>
      <c r="B91" s="16" t="s">
        <v>281</v>
      </c>
      <c r="C91" s="48" t="s">
        <v>285</v>
      </c>
      <c r="D91" s="49" t="s">
        <v>299</v>
      </c>
      <c r="E91" s="54" t="s">
        <v>319</v>
      </c>
      <c r="F91" s="54" t="s">
        <v>307</v>
      </c>
      <c r="G91" s="49" t="s">
        <v>17</v>
      </c>
      <c r="H91" s="48" t="s">
        <v>244</v>
      </c>
    </row>
    <row r="92" spans="1:9">
      <c r="A92" s="51">
        <v>58</v>
      </c>
      <c r="B92" s="16" t="s">
        <v>298</v>
      </c>
      <c r="C92" s="49" t="s">
        <v>300</v>
      </c>
      <c r="D92" s="49" t="s">
        <v>299</v>
      </c>
      <c r="E92" s="54" t="s">
        <v>317</v>
      </c>
      <c r="F92" s="49" t="s">
        <v>303</v>
      </c>
      <c r="G92" s="49" t="s">
        <v>17</v>
      </c>
      <c r="H92" s="48" t="s">
        <v>244</v>
      </c>
    </row>
    <row r="93" spans="1:9">
      <c r="A93" s="51">
        <v>58</v>
      </c>
      <c r="B93" s="16" t="s">
        <v>298</v>
      </c>
      <c r="C93" s="49" t="s">
        <v>302</v>
      </c>
      <c r="D93" s="49" t="s">
        <v>299</v>
      </c>
      <c r="E93" s="54" t="s">
        <v>318</v>
      </c>
      <c r="F93" s="48" t="s">
        <v>282</v>
      </c>
      <c r="G93" s="49" t="s">
        <v>17</v>
      </c>
      <c r="H93" s="48" t="s">
        <v>244</v>
      </c>
    </row>
    <row r="94" spans="1:9">
      <c r="A94" s="51">
        <v>58</v>
      </c>
      <c r="B94" s="16" t="s">
        <v>298</v>
      </c>
      <c r="C94" s="48" t="s">
        <v>304</v>
      </c>
      <c r="D94" s="49" t="s">
        <v>299</v>
      </c>
      <c r="E94" s="54" t="s">
        <v>319</v>
      </c>
      <c r="F94" s="54" t="s">
        <v>307</v>
      </c>
      <c r="G94" s="49" t="s">
        <v>17</v>
      </c>
      <c r="H94" s="48" t="s">
        <v>244</v>
      </c>
    </row>
    <row r="95" spans="1:9">
      <c r="A95" s="51">
        <v>59</v>
      </c>
      <c r="B95" s="16" t="s">
        <v>308</v>
      </c>
      <c r="C95" s="49" t="s">
        <v>300</v>
      </c>
      <c r="D95" s="49" t="s">
        <v>299</v>
      </c>
      <c r="E95" s="54" t="s">
        <v>317</v>
      </c>
      <c r="F95" s="49" t="s">
        <v>303</v>
      </c>
      <c r="G95" s="49" t="s">
        <v>17</v>
      </c>
      <c r="H95" s="48" t="s">
        <v>244</v>
      </c>
    </row>
    <row r="96" spans="1:9">
      <c r="A96" s="51">
        <v>59</v>
      </c>
      <c r="B96" s="16" t="s">
        <v>308</v>
      </c>
      <c r="C96" s="49" t="s">
        <v>302</v>
      </c>
      <c r="D96" s="49" t="s">
        <v>299</v>
      </c>
      <c r="E96" s="54" t="s">
        <v>318</v>
      </c>
      <c r="F96" s="48" t="s">
        <v>282</v>
      </c>
      <c r="G96" s="49" t="s">
        <v>17</v>
      </c>
      <c r="H96" s="48" t="s">
        <v>244</v>
      </c>
    </row>
    <row r="97" spans="1:8">
      <c r="A97" s="51">
        <v>59</v>
      </c>
      <c r="B97" s="16" t="s">
        <v>308</v>
      </c>
      <c r="C97" s="48" t="s">
        <v>304</v>
      </c>
      <c r="D97" s="49" t="s">
        <v>299</v>
      </c>
      <c r="E97" s="54" t="s">
        <v>319</v>
      </c>
      <c r="F97" s="54" t="s">
        <v>307</v>
      </c>
      <c r="G97" s="49" t="s">
        <v>17</v>
      </c>
      <c r="H97" s="48" t="s">
        <v>244</v>
      </c>
    </row>
    <row r="98" spans="1:8" ht="30">
      <c r="A98" s="51">
        <v>60</v>
      </c>
      <c r="B98" s="16" t="s">
        <v>309</v>
      </c>
      <c r="C98" s="49" t="s">
        <v>300</v>
      </c>
      <c r="D98" s="49" t="s">
        <v>299</v>
      </c>
      <c r="E98" s="54" t="s">
        <v>317</v>
      </c>
      <c r="F98" s="49" t="s">
        <v>303</v>
      </c>
      <c r="G98" s="49" t="s">
        <v>17</v>
      </c>
      <c r="H98" s="48" t="s">
        <v>244</v>
      </c>
    </row>
    <row r="99" spans="1:8" ht="30">
      <c r="A99" s="51">
        <v>60</v>
      </c>
      <c r="B99" s="16" t="s">
        <v>309</v>
      </c>
      <c r="C99" s="49" t="s">
        <v>302</v>
      </c>
      <c r="D99" s="49" t="s">
        <v>299</v>
      </c>
      <c r="E99" s="54" t="s">
        <v>318</v>
      </c>
      <c r="F99" s="48" t="s">
        <v>282</v>
      </c>
      <c r="G99" s="49" t="s">
        <v>17</v>
      </c>
      <c r="H99" s="48" t="s">
        <v>244</v>
      </c>
    </row>
    <row r="100" spans="1:8" ht="30">
      <c r="A100" s="51">
        <v>60</v>
      </c>
      <c r="B100" s="16" t="s">
        <v>309</v>
      </c>
      <c r="C100" s="48" t="s">
        <v>304</v>
      </c>
      <c r="D100" s="49" t="s">
        <v>299</v>
      </c>
      <c r="E100" s="54" t="s">
        <v>319</v>
      </c>
      <c r="F100" s="54" t="s">
        <v>307</v>
      </c>
      <c r="G100" s="49" t="s">
        <v>17</v>
      </c>
      <c r="H100" s="48" t="s">
        <v>244</v>
      </c>
    </row>
    <row r="101" spans="1:8" ht="30">
      <c r="A101" s="51">
        <v>61</v>
      </c>
      <c r="B101" s="16" t="s">
        <v>310</v>
      </c>
      <c r="C101" s="49" t="s">
        <v>300</v>
      </c>
      <c r="D101" s="49" t="s">
        <v>299</v>
      </c>
      <c r="E101" s="54" t="s">
        <v>317</v>
      </c>
      <c r="F101" s="49" t="s">
        <v>303</v>
      </c>
      <c r="G101" s="49" t="s">
        <v>17</v>
      </c>
      <c r="H101" s="48" t="s">
        <v>244</v>
      </c>
    </row>
    <row r="102" spans="1:8" ht="30">
      <c r="A102" s="51">
        <v>61</v>
      </c>
      <c r="B102" s="16" t="s">
        <v>310</v>
      </c>
      <c r="C102" s="49" t="s">
        <v>302</v>
      </c>
      <c r="D102" s="49" t="s">
        <v>299</v>
      </c>
      <c r="E102" s="54" t="s">
        <v>318</v>
      </c>
      <c r="F102" s="48" t="s">
        <v>282</v>
      </c>
      <c r="G102" s="49" t="s">
        <v>17</v>
      </c>
      <c r="H102" s="48" t="s">
        <v>244</v>
      </c>
    </row>
    <row r="103" spans="1:8" ht="30">
      <c r="A103" s="51">
        <v>61</v>
      </c>
      <c r="B103" s="16" t="s">
        <v>310</v>
      </c>
      <c r="C103" s="48" t="s">
        <v>304</v>
      </c>
      <c r="D103" s="49" t="s">
        <v>299</v>
      </c>
      <c r="E103" s="54" t="s">
        <v>319</v>
      </c>
      <c r="F103" s="54" t="s">
        <v>307</v>
      </c>
      <c r="G103" s="49" t="s">
        <v>17</v>
      </c>
      <c r="H103" s="48" t="s">
        <v>244</v>
      </c>
    </row>
    <row r="104" spans="1:8" ht="30">
      <c r="A104" s="51">
        <v>62</v>
      </c>
      <c r="B104" s="16" t="s">
        <v>311</v>
      </c>
      <c r="C104" s="49" t="s">
        <v>300</v>
      </c>
      <c r="D104" s="49" t="s">
        <v>299</v>
      </c>
      <c r="E104" s="54" t="s">
        <v>317</v>
      </c>
      <c r="F104" s="49" t="s">
        <v>303</v>
      </c>
      <c r="G104" s="49" t="s">
        <v>17</v>
      </c>
      <c r="H104" s="48" t="s">
        <v>244</v>
      </c>
    </row>
    <row r="105" spans="1:8" ht="30">
      <c r="A105" s="51">
        <v>62</v>
      </c>
      <c r="B105" s="16" t="s">
        <v>311</v>
      </c>
      <c r="C105" s="49" t="s">
        <v>302</v>
      </c>
      <c r="D105" s="49" t="s">
        <v>299</v>
      </c>
      <c r="E105" s="54" t="s">
        <v>318</v>
      </c>
      <c r="F105" s="48" t="s">
        <v>282</v>
      </c>
      <c r="G105" s="49" t="s">
        <v>17</v>
      </c>
      <c r="H105" s="48" t="s">
        <v>244</v>
      </c>
    </row>
    <row r="106" spans="1:8" ht="30">
      <c r="A106" s="51">
        <v>62</v>
      </c>
      <c r="B106" s="16" t="s">
        <v>311</v>
      </c>
      <c r="C106" s="48" t="s">
        <v>304</v>
      </c>
      <c r="D106" s="49" t="s">
        <v>299</v>
      </c>
      <c r="E106" s="54" t="s">
        <v>319</v>
      </c>
      <c r="F106" s="54" t="s">
        <v>307</v>
      </c>
      <c r="G106" s="49" t="s">
        <v>17</v>
      </c>
      <c r="H106" s="48" t="s">
        <v>244</v>
      </c>
    </row>
  </sheetData>
  <autoFilter ref="A1:I106" xr:uid="{6FDECE43-1EE0-40FA-A78E-098915F5DD61}">
    <filterColumn colId="7">
      <filters>
        <filter val="DW-SIAP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769B-99B2-4E95-A124-8F5EB50070EF}">
  <dimension ref="A1:M6"/>
  <sheetViews>
    <sheetView workbookViewId="0">
      <selection activeCell="E11" sqref="E11"/>
    </sheetView>
  </sheetViews>
  <sheetFormatPr defaultRowHeight="15"/>
  <cols>
    <col min="1" max="1" width="18.5703125" customWidth="1"/>
    <col min="2" max="2" width="33.7109375" customWidth="1"/>
    <col min="3" max="4" width="22.42578125" customWidth="1"/>
    <col min="5" max="5" width="31.28515625" customWidth="1"/>
    <col min="6" max="6" width="21.42578125" customWidth="1"/>
    <col min="7" max="7" width="26.5703125" bestFit="1" customWidth="1"/>
    <col min="8" max="9" width="26.5703125" customWidth="1"/>
  </cols>
  <sheetData>
    <row r="1" spans="1:13">
      <c r="A1" s="41" t="s">
        <v>237</v>
      </c>
      <c r="B1" s="41" t="s">
        <v>247</v>
      </c>
      <c r="C1" s="41" t="s">
        <v>249</v>
      </c>
      <c r="D1" s="41" t="s">
        <v>320</v>
      </c>
      <c r="E1" s="41" t="s">
        <v>257</v>
      </c>
      <c r="F1" s="41" t="s">
        <v>321</v>
      </c>
      <c r="G1" s="41" t="s">
        <v>266</v>
      </c>
      <c r="H1" s="41" t="s">
        <v>322</v>
      </c>
      <c r="I1" s="41" t="s">
        <v>323</v>
      </c>
      <c r="J1" s="42" t="s">
        <v>324</v>
      </c>
      <c r="K1" s="42" t="s">
        <v>325</v>
      </c>
      <c r="L1" s="44" t="s">
        <v>326</v>
      </c>
      <c r="M1" s="46" t="s">
        <v>327</v>
      </c>
    </row>
    <row r="2" spans="1:13">
      <c r="A2" s="40" t="s">
        <v>328</v>
      </c>
      <c r="B2" s="40" t="s">
        <v>329</v>
      </c>
      <c r="C2" s="40" t="s">
        <v>330</v>
      </c>
      <c r="D2" s="40"/>
      <c r="E2" s="40"/>
      <c r="F2" s="40" t="s">
        <v>331</v>
      </c>
      <c r="G2" s="40" t="s">
        <v>332</v>
      </c>
      <c r="H2" s="40" t="s">
        <v>333</v>
      </c>
      <c r="I2" s="40">
        <v>2026</v>
      </c>
      <c r="J2" s="43"/>
      <c r="K2" s="43"/>
      <c r="L2" s="45"/>
      <c r="M2" s="47"/>
    </row>
    <row r="3" spans="1:13">
      <c r="A3" s="40" t="s">
        <v>334</v>
      </c>
      <c r="B3" s="40" t="s">
        <v>335</v>
      </c>
      <c r="C3" s="40" t="s">
        <v>330</v>
      </c>
      <c r="D3" s="40"/>
      <c r="E3" s="40"/>
      <c r="F3" s="40" t="s">
        <v>336</v>
      </c>
      <c r="G3" s="40" t="s">
        <v>337</v>
      </c>
      <c r="H3" s="40" t="s">
        <v>338</v>
      </c>
      <c r="I3" s="40">
        <v>2026</v>
      </c>
      <c r="J3" s="43"/>
      <c r="K3" s="43"/>
      <c r="L3" s="45"/>
      <c r="M3" s="47"/>
    </row>
    <row r="4" spans="1:13">
      <c r="A4" s="40" t="s">
        <v>328</v>
      </c>
      <c r="B4" s="40" t="s">
        <v>329</v>
      </c>
      <c r="C4" s="40" t="s">
        <v>330</v>
      </c>
      <c r="D4" s="40"/>
      <c r="E4" s="40"/>
      <c r="F4" s="40" t="s">
        <v>331</v>
      </c>
      <c r="G4" s="40" t="s">
        <v>332</v>
      </c>
      <c r="H4" s="40" t="s">
        <v>339</v>
      </c>
      <c r="I4" s="40">
        <v>2026</v>
      </c>
      <c r="J4" s="43"/>
      <c r="K4" s="43"/>
      <c r="L4" s="45"/>
      <c r="M4" s="47"/>
    </row>
    <row r="5" spans="1:13">
      <c r="A5" s="40" t="s">
        <v>340</v>
      </c>
      <c r="B5" s="40" t="s">
        <v>341</v>
      </c>
      <c r="C5" s="40" t="s">
        <v>330</v>
      </c>
      <c r="D5" s="40"/>
      <c r="E5" s="40"/>
      <c r="F5" s="40" t="s">
        <v>342</v>
      </c>
      <c r="G5" s="40" t="s">
        <v>332</v>
      </c>
      <c r="H5" s="40" t="s">
        <v>343</v>
      </c>
      <c r="I5" s="40">
        <v>2026</v>
      </c>
      <c r="J5" s="43"/>
      <c r="K5" s="43"/>
      <c r="L5" s="45"/>
      <c r="M5" s="47"/>
    </row>
    <row r="6" spans="1:13">
      <c r="A6" s="40" t="s">
        <v>340</v>
      </c>
      <c r="B6" s="40" t="s">
        <v>341</v>
      </c>
      <c r="C6" s="40" t="s">
        <v>330</v>
      </c>
      <c r="D6" s="40"/>
      <c r="E6" s="40"/>
      <c r="F6" s="40" t="s">
        <v>336</v>
      </c>
      <c r="G6" s="40" t="s">
        <v>332</v>
      </c>
      <c r="H6" s="40" t="s">
        <v>344</v>
      </c>
      <c r="I6" s="40">
        <v>2026</v>
      </c>
      <c r="J6" s="43"/>
      <c r="K6" s="43"/>
      <c r="L6" s="45"/>
      <c r="M6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2493-B12C-4300-AADA-C17C3AFDB57B}">
  <dimension ref="A1:L519"/>
  <sheetViews>
    <sheetView zoomScale="85" zoomScaleNormal="85" workbookViewId="0">
      <selection sqref="A1:A2"/>
    </sheetView>
  </sheetViews>
  <sheetFormatPr defaultRowHeight="15"/>
  <cols>
    <col min="1" max="1" width="31.7109375" customWidth="1"/>
    <col min="2" max="2" width="42.5703125" style="13" customWidth="1"/>
    <col min="3" max="3" width="31" customWidth="1"/>
    <col min="4" max="4" width="25" bestFit="1" customWidth="1"/>
    <col min="5" max="5" width="53.28515625" customWidth="1"/>
    <col min="6" max="7" width="37.28515625" customWidth="1"/>
    <col min="8" max="8" width="26.85546875" customWidth="1"/>
    <col min="9" max="9" width="26.140625" customWidth="1"/>
    <col min="10" max="11" width="35.42578125" customWidth="1"/>
    <col min="12" max="12" width="38.140625" customWidth="1"/>
    <col min="13" max="13" width="30.28515625" customWidth="1"/>
  </cols>
  <sheetData>
    <row r="1" spans="1:12" ht="15.75" thickBot="1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6</v>
      </c>
      <c r="G1" s="1" t="s">
        <v>350</v>
      </c>
      <c r="H1" s="1" t="s">
        <v>4</v>
      </c>
      <c r="I1" s="1" t="s">
        <v>351</v>
      </c>
      <c r="J1" s="1" t="s">
        <v>14</v>
      </c>
      <c r="K1" s="1" t="s">
        <v>13</v>
      </c>
      <c r="L1" s="1" t="s">
        <v>5</v>
      </c>
    </row>
    <row r="2" spans="1:12" ht="45.75" thickBot="1">
      <c r="A2" s="3" t="s">
        <v>134</v>
      </c>
      <c r="B2" s="3" t="s">
        <v>352</v>
      </c>
      <c r="C2" s="3" t="s">
        <v>353</v>
      </c>
      <c r="D2" s="2" t="s">
        <v>354</v>
      </c>
      <c r="E2" s="10" t="s">
        <v>355</v>
      </c>
      <c r="F2" s="11" t="s">
        <v>356</v>
      </c>
      <c r="G2" s="3" t="s">
        <v>357</v>
      </c>
      <c r="H2" s="4" t="s">
        <v>358</v>
      </c>
      <c r="I2" s="4"/>
      <c r="J2" s="4"/>
      <c r="K2" s="4" t="s">
        <v>359</v>
      </c>
      <c r="L2" s="3" t="s">
        <v>360</v>
      </c>
    </row>
    <row r="3" spans="1:12" ht="43.5" thickBot="1">
      <c r="A3" s="3" t="s">
        <v>134</v>
      </c>
      <c r="B3" s="3" t="s">
        <v>352</v>
      </c>
      <c r="C3" s="3" t="s">
        <v>353</v>
      </c>
      <c r="D3" s="2" t="s">
        <v>354</v>
      </c>
      <c r="E3" s="8" t="s">
        <v>361</v>
      </c>
      <c r="F3" s="9" t="s">
        <v>362</v>
      </c>
      <c r="G3" s="3" t="s">
        <v>363</v>
      </c>
      <c r="H3" s="4" t="s">
        <v>364</v>
      </c>
      <c r="I3" s="4"/>
      <c r="J3" s="4"/>
      <c r="K3" s="4" t="s">
        <v>365</v>
      </c>
      <c r="L3" s="3" t="s">
        <v>366</v>
      </c>
    </row>
    <row r="4" spans="1:12" ht="43.5" thickBot="1">
      <c r="A4" s="3" t="s">
        <v>134</v>
      </c>
      <c r="B4" s="3" t="s">
        <v>352</v>
      </c>
      <c r="C4" s="3" t="s">
        <v>353</v>
      </c>
      <c r="D4" s="2" t="s">
        <v>354</v>
      </c>
      <c r="E4" s="6" t="s">
        <v>367</v>
      </c>
      <c r="F4" s="7" t="s">
        <v>368</v>
      </c>
      <c r="G4" s="3" t="s">
        <v>363</v>
      </c>
      <c r="H4" s="4" t="s">
        <v>364</v>
      </c>
      <c r="I4" s="4"/>
      <c r="J4" s="4"/>
      <c r="K4" s="4"/>
      <c r="L4" s="3"/>
    </row>
    <row r="5" spans="1:12" ht="43.5" thickBot="1">
      <c r="A5" s="3" t="s">
        <v>134</v>
      </c>
      <c r="B5" s="3" t="s">
        <v>352</v>
      </c>
      <c r="C5" s="3" t="s">
        <v>353</v>
      </c>
      <c r="D5" s="2" t="s">
        <v>369</v>
      </c>
      <c r="E5" s="10" t="s">
        <v>370</v>
      </c>
      <c r="F5" s="11" t="s">
        <v>356</v>
      </c>
      <c r="G5" s="3" t="s">
        <v>371</v>
      </c>
      <c r="H5" s="4" t="s">
        <v>358</v>
      </c>
      <c r="I5" s="4"/>
      <c r="J5" s="4"/>
      <c r="K5" s="4" t="s">
        <v>372</v>
      </c>
      <c r="L5" s="3" t="s">
        <v>373</v>
      </c>
    </row>
    <row r="6" spans="1:12" ht="45.75" thickBot="1">
      <c r="A6" s="3" t="s">
        <v>134</v>
      </c>
      <c r="B6" s="3" t="s">
        <v>352</v>
      </c>
      <c r="C6" s="3" t="s">
        <v>353</v>
      </c>
      <c r="D6" s="2" t="s">
        <v>374</v>
      </c>
      <c r="E6" s="8" t="s">
        <v>375</v>
      </c>
      <c r="F6" s="9" t="s">
        <v>362</v>
      </c>
      <c r="G6" s="3" t="s">
        <v>376</v>
      </c>
      <c r="H6" s="4" t="s">
        <v>377</v>
      </c>
      <c r="I6" s="4"/>
      <c r="J6" s="4" t="s">
        <v>378</v>
      </c>
      <c r="K6" s="4" t="s">
        <v>365</v>
      </c>
      <c r="L6" s="3" t="s">
        <v>366</v>
      </c>
    </row>
    <row r="7" spans="1:12" ht="43.5" thickBot="1">
      <c r="A7" s="3" t="s">
        <v>134</v>
      </c>
      <c r="B7" s="3" t="s">
        <v>352</v>
      </c>
      <c r="C7" s="3" t="s">
        <v>353</v>
      </c>
      <c r="D7" s="2" t="s">
        <v>379</v>
      </c>
      <c r="E7" s="6" t="s">
        <v>380</v>
      </c>
      <c r="F7" s="7" t="s">
        <v>368</v>
      </c>
      <c r="G7" s="3" t="s">
        <v>381</v>
      </c>
      <c r="H7" s="4" t="s">
        <v>377</v>
      </c>
      <c r="I7" s="4"/>
      <c r="J7" s="4"/>
      <c r="K7" s="4"/>
      <c r="L7" s="3"/>
    </row>
    <row r="8" spans="1:12" ht="43.5" thickBot="1">
      <c r="A8" s="3" t="s">
        <v>134</v>
      </c>
      <c r="B8" s="3" t="s">
        <v>352</v>
      </c>
      <c r="C8" s="3" t="s">
        <v>353</v>
      </c>
      <c r="D8" s="2" t="s">
        <v>382</v>
      </c>
      <c r="E8" s="6" t="s">
        <v>383</v>
      </c>
      <c r="F8" s="7" t="s">
        <v>368</v>
      </c>
      <c r="G8" s="3" t="s">
        <v>384</v>
      </c>
      <c r="H8" s="4" t="s">
        <v>377</v>
      </c>
      <c r="I8" s="4"/>
      <c r="J8" s="5"/>
      <c r="K8" s="4"/>
      <c r="L8" s="3"/>
    </row>
    <row r="9" spans="1:12" ht="43.5" thickBot="1">
      <c r="A9" s="3" t="s">
        <v>134</v>
      </c>
      <c r="B9" s="3" t="s">
        <v>352</v>
      </c>
      <c r="C9" s="3" t="s">
        <v>353</v>
      </c>
      <c r="D9" s="2" t="s">
        <v>382</v>
      </c>
      <c r="E9" s="9" t="s">
        <v>385</v>
      </c>
      <c r="F9" s="9" t="s">
        <v>386</v>
      </c>
      <c r="G9" s="3" t="s">
        <v>384</v>
      </c>
      <c r="H9" s="4" t="s">
        <v>377</v>
      </c>
      <c r="I9" s="4"/>
      <c r="J9" s="4"/>
      <c r="K9" s="4" t="s">
        <v>387</v>
      </c>
      <c r="L9" s="3" t="s">
        <v>366</v>
      </c>
    </row>
    <row r="10" spans="1:12" ht="57.75" thickBot="1">
      <c r="A10" s="3" t="s">
        <v>134</v>
      </c>
      <c r="B10" s="3" t="s">
        <v>388</v>
      </c>
      <c r="C10" s="3" t="s">
        <v>389</v>
      </c>
      <c r="D10" s="2"/>
      <c r="E10" s="12"/>
      <c r="F10" s="12"/>
      <c r="G10" s="3"/>
      <c r="H10" s="4"/>
      <c r="I10" s="4"/>
      <c r="J10" s="4"/>
      <c r="K10" s="4"/>
      <c r="L10" s="3"/>
    </row>
    <row r="11" spans="1:12" ht="43.5" thickBot="1">
      <c r="A11" s="3" t="s">
        <v>134</v>
      </c>
      <c r="B11" s="3" t="s">
        <v>390</v>
      </c>
      <c r="C11" s="3" t="s">
        <v>391</v>
      </c>
      <c r="D11" s="2"/>
      <c r="E11" s="12"/>
      <c r="F11" s="12"/>
      <c r="G11" s="3"/>
      <c r="H11" s="4"/>
      <c r="I11" s="4"/>
      <c r="J11" s="4"/>
      <c r="K11" s="4"/>
      <c r="L11" s="3"/>
    </row>
    <row r="12" spans="1:12" ht="29.25" thickBot="1">
      <c r="A12" s="3" t="s">
        <v>134</v>
      </c>
      <c r="B12" s="3" t="s">
        <v>390</v>
      </c>
      <c r="C12" s="3" t="s">
        <v>392</v>
      </c>
      <c r="D12" s="2"/>
      <c r="E12" s="12"/>
      <c r="F12" s="12"/>
      <c r="G12" s="3"/>
      <c r="H12" s="4"/>
      <c r="I12" s="4"/>
      <c r="J12" s="4"/>
      <c r="K12" s="4"/>
      <c r="L12" s="3"/>
    </row>
    <row r="13" spans="1:12" ht="57.75" thickBot="1">
      <c r="A13" s="3" t="s">
        <v>134</v>
      </c>
      <c r="B13" s="3" t="s">
        <v>393</v>
      </c>
      <c r="C13" s="3" t="s">
        <v>394</v>
      </c>
      <c r="D13" s="2"/>
      <c r="E13" s="12"/>
      <c r="F13" s="12"/>
      <c r="G13" s="3"/>
      <c r="H13" s="4"/>
      <c r="I13" s="4"/>
      <c r="J13" s="4"/>
      <c r="K13" s="4"/>
      <c r="L13" s="3"/>
    </row>
    <row r="14" spans="1:12" ht="57.75" thickBot="1">
      <c r="A14" s="3" t="s">
        <v>134</v>
      </c>
      <c r="B14" s="3" t="s">
        <v>393</v>
      </c>
      <c r="C14" s="3" t="s">
        <v>395</v>
      </c>
      <c r="D14" s="2"/>
      <c r="E14" s="12"/>
      <c r="F14" s="12"/>
      <c r="G14" s="3"/>
      <c r="H14" s="4"/>
      <c r="I14" s="4"/>
      <c r="J14" s="4"/>
      <c r="K14" s="4"/>
      <c r="L14" s="3"/>
    </row>
    <row r="15" spans="1:12" ht="57.75" thickBot="1">
      <c r="A15" s="3" t="s">
        <v>134</v>
      </c>
      <c r="B15" s="3" t="s">
        <v>393</v>
      </c>
      <c r="C15" s="3" t="s">
        <v>396</v>
      </c>
      <c r="D15" s="2"/>
      <c r="E15" s="12"/>
      <c r="F15" s="12"/>
      <c r="G15" s="3"/>
      <c r="H15" s="4"/>
      <c r="I15" s="4"/>
      <c r="J15" s="4"/>
      <c r="K15" s="4"/>
      <c r="L15" s="3"/>
    </row>
    <row r="16" spans="1:12" ht="57.75" thickBot="1">
      <c r="A16" s="3" t="s">
        <v>134</v>
      </c>
      <c r="B16" s="3" t="s">
        <v>393</v>
      </c>
      <c r="C16" s="3" t="s">
        <v>397</v>
      </c>
      <c r="D16" s="2"/>
      <c r="E16" s="12"/>
      <c r="F16" s="12"/>
      <c r="G16" s="3"/>
      <c r="H16" s="4"/>
      <c r="I16" s="4"/>
      <c r="J16" s="4"/>
      <c r="K16" s="4"/>
      <c r="L16" s="3"/>
    </row>
    <row r="17" spans="1:12" ht="57.75" thickBot="1">
      <c r="A17" s="3" t="s">
        <v>134</v>
      </c>
      <c r="B17" s="3" t="s">
        <v>398</v>
      </c>
      <c r="C17" s="3" t="s">
        <v>399</v>
      </c>
      <c r="D17" s="2"/>
      <c r="E17" s="12"/>
      <c r="F17" s="12"/>
      <c r="G17" s="3"/>
      <c r="H17" s="4"/>
      <c r="I17" s="4"/>
      <c r="J17" s="4"/>
      <c r="K17" s="4"/>
      <c r="L17" s="3"/>
    </row>
    <row r="18" spans="1:12" ht="57.75" thickBot="1">
      <c r="A18" s="3" t="s">
        <v>134</v>
      </c>
      <c r="B18" s="3" t="s">
        <v>398</v>
      </c>
      <c r="C18" s="3" t="s">
        <v>400</v>
      </c>
      <c r="D18" s="2"/>
      <c r="E18" s="12"/>
      <c r="F18" s="12"/>
      <c r="G18" s="3"/>
      <c r="H18" s="4"/>
      <c r="I18" s="4"/>
      <c r="J18" s="4"/>
      <c r="K18" s="4"/>
      <c r="L18" s="3"/>
    </row>
    <row r="19" spans="1:12" ht="57.75" thickBot="1">
      <c r="A19" s="3" t="s">
        <v>134</v>
      </c>
      <c r="B19" s="3" t="s">
        <v>398</v>
      </c>
      <c r="C19" s="3" t="s">
        <v>401</v>
      </c>
      <c r="D19" s="2"/>
      <c r="E19" s="12"/>
      <c r="F19" s="12"/>
      <c r="G19" s="3"/>
      <c r="H19" s="4"/>
      <c r="I19" s="4"/>
      <c r="J19" s="4"/>
      <c r="K19" s="4"/>
      <c r="L19" s="3"/>
    </row>
    <row r="20" spans="1:12" ht="57.75" thickBot="1">
      <c r="A20" s="3" t="s">
        <v>134</v>
      </c>
      <c r="B20" s="3" t="s">
        <v>398</v>
      </c>
      <c r="C20" s="3" t="s">
        <v>402</v>
      </c>
      <c r="D20" s="2"/>
      <c r="E20" s="12"/>
      <c r="F20" s="12"/>
      <c r="G20" s="3"/>
      <c r="H20" s="4"/>
      <c r="I20" s="4"/>
      <c r="J20" s="4"/>
      <c r="K20" s="4"/>
      <c r="L20" s="3"/>
    </row>
    <row r="21" spans="1:12" ht="57.75" thickBot="1">
      <c r="A21" s="3" t="s">
        <v>134</v>
      </c>
      <c r="B21" s="3" t="s">
        <v>398</v>
      </c>
      <c r="C21" s="3" t="s">
        <v>403</v>
      </c>
      <c r="D21" s="2"/>
      <c r="E21" s="12"/>
      <c r="F21" s="12"/>
      <c r="G21" s="3"/>
      <c r="H21" s="4"/>
      <c r="I21" s="4"/>
      <c r="J21" s="4"/>
      <c r="K21" s="4"/>
      <c r="L21" s="3"/>
    </row>
    <row r="22" spans="1:12" ht="86.25" thickBot="1">
      <c r="A22" s="3" t="s">
        <v>134</v>
      </c>
      <c r="B22" s="3" t="s">
        <v>398</v>
      </c>
      <c r="C22" s="3" t="s">
        <v>404</v>
      </c>
      <c r="D22" s="2"/>
      <c r="E22" s="12"/>
      <c r="F22" s="12"/>
      <c r="G22" s="3"/>
      <c r="H22" s="4"/>
      <c r="I22" s="4"/>
      <c r="J22" s="4"/>
      <c r="K22" s="4"/>
      <c r="L22" s="3"/>
    </row>
    <row r="23" spans="1:12" ht="57.75" thickBot="1">
      <c r="A23" s="3" t="s">
        <v>134</v>
      </c>
      <c r="B23" s="3" t="s">
        <v>398</v>
      </c>
      <c r="C23" s="3" t="s">
        <v>405</v>
      </c>
      <c r="D23" s="2"/>
      <c r="E23" s="12"/>
      <c r="F23" s="12"/>
      <c r="G23" s="3"/>
      <c r="H23" s="4"/>
      <c r="I23" s="4"/>
      <c r="J23" s="4"/>
      <c r="K23" s="4"/>
      <c r="L23" s="3"/>
    </row>
    <row r="24" spans="1:12" ht="43.5" thickBot="1">
      <c r="A24" s="3" t="s">
        <v>134</v>
      </c>
      <c r="B24" s="3" t="s">
        <v>406</v>
      </c>
      <c r="C24" s="3" t="s">
        <v>407</v>
      </c>
      <c r="D24" s="2"/>
      <c r="E24" s="12"/>
      <c r="F24" s="12"/>
      <c r="G24" s="3"/>
      <c r="H24" s="4"/>
      <c r="I24" s="4"/>
      <c r="J24" s="4"/>
      <c r="K24" s="4"/>
      <c r="L24" s="3"/>
    </row>
    <row r="25" spans="1:12" ht="43.5" thickBot="1">
      <c r="A25" s="3" t="s">
        <v>134</v>
      </c>
      <c r="B25" s="3" t="s">
        <v>406</v>
      </c>
      <c r="C25" s="3" t="s">
        <v>408</v>
      </c>
      <c r="D25" s="2"/>
      <c r="E25" s="12"/>
      <c r="F25" s="12"/>
      <c r="G25" s="3"/>
      <c r="H25" s="4"/>
      <c r="I25" s="4"/>
      <c r="J25" s="4"/>
      <c r="K25" s="4"/>
      <c r="L25" s="3"/>
    </row>
    <row r="26" spans="1:12" ht="57.75" thickBot="1">
      <c r="A26" s="3" t="s">
        <v>409</v>
      </c>
      <c r="B26" s="3" t="s">
        <v>410</v>
      </c>
      <c r="C26" s="3" t="s">
        <v>411</v>
      </c>
      <c r="D26" s="2"/>
      <c r="E26" s="12"/>
      <c r="F26" s="12"/>
      <c r="G26" s="3"/>
      <c r="H26" s="4"/>
      <c r="I26" s="4"/>
      <c r="J26" s="4"/>
      <c r="K26" s="4"/>
      <c r="L26" s="3"/>
    </row>
    <row r="27" spans="1:12" ht="57.75" thickBot="1">
      <c r="A27" s="3" t="s">
        <v>409</v>
      </c>
      <c r="B27" s="3" t="s">
        <v>410</v>
      </c>
      <c r="C27" s="3" t="s">
        <v>412</v>
      </c>
      <c r="D27" s="2"/>
      <c r="E27" s="12"/>
      <c r="F27" s="12"/>
      <c r="G27" s="3"/>
      <c r="H27" s="4"/>
      <c r="I27" s="4"/>
      <c r="J27" s="4"/>
      <c r="K27" s="4"/>
      <c r="L27" s="3"/>
    </row>
    <row r="28" spans="1:12" ht="57.75" thickBot="1">
      <c r="A28" s="3" t="s">
        <v>409</v>
      </c>
      <c r="B28" s="3" t="s">
        <v>410</v>
      </c>
      <c r="C28" s="3" t="s">
        <v>413</v>
      </c>
      <c r="D28" s="2"/>
      <c r="E28" s="12"/>
      <c r="F28" s="12"/>
      <c r="G28" s="3"/>
      <c r="H28" s="4"/>
      <c r="I28" s="4"/>
      <c r="J28" s="4"/>
      <c r="K28" s="4"/>
      <c r="L28" s="3"/>
    </row>
    <row r="29" spans="1:12" ht="57.75" thickBot="1">
      <c r="A29" s="3" t="s">
        <v>409</v>
      </c>
      <c r="B29" s="3" t="s">
        <v>410</v>
      </c>
      <c r="C29" s="3" t="s">
        <v>414</v>
      </c>
      <c r="D29" s="2"/>
      <c r="E29" s="12"/>
      <c r="F29" s="12"/>
      <c r="G29" s="3"/>
      <c r="H29" s="4"/>
      <c r="I29" s="4"/>
      <c r="J29" s="4"/>
      <c r="K29" s="4"/>
      <c r="L29" s="3"/>
    </row>
    <row r="30" spans="1:12" ht="57.75" thickBot="1">
      <c r="A30" s="3" t="s">
        <v>409</v>
      </c>
      <c r="B30" s="3" t="s">
        <v>410</v>
      </c>
      <c r="C30" s="3" t="s">
        <v>415</v>
      </c>
      <c r="D30" s="2"/>
      <c r="E30" s="12"/>
      <c r="F30" s="12"/>
      <c r="G30" s="3"/>
      <c r="H30" s="4"/>
      <c r="I30" s="4"/>
      <c r="J30" s="4"/>
      <c r="K30" s="4"/>
      <c r="L30" s="3"/>
    </row>
    <row r="31" spans="1:12" ht="43.5" thickBot="1">
      <c r="A31" s="3" t="s">
        <v>409</v>
      </c>
      <c r="B31" s="3" t="s">
        <v>416</v>
      </c>
      <c r="C31" s="3" t="s">
        <v>417</v>
      </c>
      <c r="D31" s="2"/>
      <c r="E31" s="12"/>
      <c r="F31" s="12"/>
      <c r="G31" s="3"/>
      <c r="H31" s="4"/>
      <c r="I31" s="4"/>
      <c r="J31" s="4"/>
      <c r="K31" s="4"/>
      <c r="L31" s="3"/>
    </row>
    <row r="32" spans="1:12" ht="43.5" thickBot="1">
      <c r="A32" s="3" t="s">
        <v>409</v>
      </c>
      <c r="B32" s="3" t="s">
        <v>416</v>
      </c>
      <c r="C32" s="3" t="s">
        <v>418</v>
      </c>
      <c r="D32" s="2"/>
      <c r="E32" s="12"/>
      <c r="F32" s="12"/>
      <c r="G32" s="3"/>
      <c r="H32" s="4"/>
      <c r="I32" s="4"/>
      <c r="J32" s="4"/>
      <c r="K32" s="4"/>
      <c r="L32" s="3"/>
    </row>
    <row r="33" spans="1:12" ht="43.5" thickBot="1">
      <c r="A33" s="3" t="s">
        <v>409</v>
      </c>
      <c r="B33" s="3" t="s">
        <v>419</v>
      </c>
      <c r="C33" s="3" t="s">
        <v>420</v>
      </c>
      <c r="D33" s="2"/>
      <c r="E33" s="12"/>
      <c r="F33" s="12"/>
      <c r="G33" s="3"/>
      <c r="H33" s="4"/>
      <c r="I33" s="4"/>
      <c r="J33" s="4"/>
      <c r="K33" s="4"/>
      <c r="L33" s="3"/>
    </row>
    <row r="34" spans="1:12" ht="29.25" thickBot="1">
      <c r="A34" s="3" t="s">
        <v>421</v>
      </c>
      <c r="B34" s="3" t="s">
        <v>422</v>
      </c>
      <c r="C34" s="3" t="s">
        <v>423</v>
      </c>
      <c r="D34" s="2"/>
      <c r="E34" s="12"/>
      <c r="F34" s="12"/>
      <c r="G34" s="3"/>
      <c r="H34" s="4"/>
      <c r="I34" s="4"/>
      <c r="J34" s="4"/>
      <c r="K34" s="4"/>
      <c r="L34" s="3"/>
    </row>
    <row r="35" spans="1:12" ht="86.25" thickBot="1">
      <c r="A35" s="3" t="s">
        <v>421</v>
      </c>
      <c r="B35" s="3" t="s">
        <v>424</v>
      </c>
      <c r="C35" s="3" t="s">
        <v>404</v>
      </c>
      <c r="D35" s="2"/>
      <c r="E35" s="12"/>
      <c r="F35" s="12"/>
      <c r="G35" s="3"/>
      <c r="H35" s="4"/>
      <c r="I35" s="4"/>
      <c r="J35" s="4"/>
      <c r="K35" s="4"/>
      <c r="L35" s="3"/>
    </row>
    <row r="36" spans="1:12" ht="43.5" thickBot="1">
      <c r="A36" s="3" t="s">
        <v>421</v>
      </c>
      <c r="B36" s="3" t="s">
        <v>425</v>
      </c>
      <c r="C36" s="3" t="s">
        <v>426</v>
      </c>
      <c r="D36" s="2"/>
      <c r="E36" s="12"/>
      <c r="F36" s="12"/>
      <c r="G36" s="3"/>
      <c r="H36" s="4"/>
      <c r="I36" s="4"/>
      <c r="J36" s="4"/>
      <c r="K36" s="4"/>
      <c r="L36" s="3"/>
    </row>
    <row r="37" spans="1:12" ht="43.5" thickBot="1">
      <c r="A37" s="3" t="s">
        <v>421</v>
      </c>
      <c r="B37" s="3" t="s">
        <v>427</v>
      </c>
      <c r="C37" s="3" t="s">
        <v>428</v>
      </c>
      <c r="D37" s="2"/>
      <c r="E37" s="12"/>
      <c r="F37" s="12"/>
      <c r="G37" s="3"/>
      <c r="H37" s="4"/>
      <c r="I37" s="4"/>
      <c r="J37" s="4"/>
      <c r="K37" s="4"/>
      <c r="L37" s="3"/>
    </row>
    <row r="38" spans="1:12" ht="43.5" thickBot="1">
      <c r="A38" s="3" t="s">
        <v>421</v>
      </c>
      <c r="B38" s="3" t="s">
        <v>427</v>
      </c>
      <c r="C38" s="3" t="s">
        <v>429</v>
      </c>
      <c r="D38" s="2"/>
      <c r="E38" s="12"/>
      <c r="F38" s="12"/>
      <c r="G38" s="3"/>
      <c r="H38" s="4"/>
      <c r="I38" s="4"/>
      <c r="J38" s="4"/>
      <c r="K38" s="4"/>
      <c r="L38" s="3"/>
    </row>
    <row r="39" spans="1:12" ht="43.5" thickBot="1">
      <c r="A39" s="3" t="s">
        <v>421</v>
      </c>
      <c r="B39" s="3" t="s">
        <v>427</v>
      </c>
      <c r="C39" s="3" t="s">
        <v>430</v>
      </c>
      <c r="D39" s="2"/>
      <c r="E39" s="12"/>
      <c r="F39" s="12"/>
      <c r="G39" s="3"/>
      <c r="H39" s="4"/>
      <c r="I39" s="4"/>
      <c r="J39" s="4"/>
      <c r="K39" s="4"/>
      <c r="L39" s="3"/>
    </row>
    <row r="40" spans="1:12" ht="57.75" thickBot="1">
      <c r="A40" s="3" t="s">
        <v>421</v>
      </c>
      <c r="B40" s="3" t="s">
        <v>431</v>
      </c>
      <c r="C40" s="3" t="s">
        <v>432</v>
      </c>
      <c r="D40" s="2"/>
      <c r="E40" s="12"/>
      <c r="F40" s="12"/>
      <c r="G40" s="3"/>
      <c r="H40" s="4"/>
      <c r="I40" s="4"/>
      <c r="J40" s="4"/>
      <c r="K40" s="4"/>
      <c r="L40" s="3"/>
    </row>
    <row r="41" spans="1:12" ht="29.25" thickBot="1">
      <c r="A41" s="3" t="s">
        <v>433</v>
      </c>
      <c r="B41" s="3" t="s">
        <v>434</v>
      </c>
      <c r="C41" s="3" t="s">
        <v>435</v>
      </c>
      <c r="D41" s="2"/>
      <c r="E41" s="12"/>
      <c r="F41" s="12"/>
      <c r="G41" s="3"/>
      <c r="H41" s="4"/>
      <c r="I41" s="4"/>
      <c r="J41" s="4"/>
      <c r="K41" s="4"/>
      <c r="L41" s="3"/>
    </row>
    <row r="42" spans="1:12" ht="29.25" thickBot="1">
      <c r="A42" s="3" t="s">
        <v>433</v>
      </c>
      <c r="B42" s="3" t="s">
        <v>434</v>
      </c>
      <c r="C42" s="3" t="s">
        <v>436</v>
      </c>
      <c r="D42" s="2"/>
      <c r="E42" s="12"/>
      <c r="F42" s="12"/>
      <c r="G42" s="3"/>
      <c r="H42" s="4"/>
      <c r="I42" s="4"/>
      <c r="J42" s="4"/>
      <c r="K42" s="4"/>
      <c r="L42" s="3"/>
    </row>
    <row r="43" spans="1:12" ht="29.25" thickBot="1">
      <c r="A43" s="3" t="s">
        <v>433</v>
      </c>
      <c r="B43" s="3" t="s">
        <v>434</v>
      </c>
      <c r="C43" s="3" t="s">
        <v>437</v>
      </c>
      <c r="D43" s="2"/>
      <c r="E43" s="12"/>
      <c r="F43" s="12"/>
      <c r="G43" s="3"/>
      <c r="H43" s="4"/>
      <c r="I43" s="4"/>
      <c r="J43" s="4"/>
      <c r="K43" s="4"/>
      <c r="L43" s="3"/>
    </row>
    <row r="44" spans="1:12" ht="43.5" thickBot="1">
      <c r="A44" s="3" t="s">
        <v>433</v>
      </c>
      <c r="B44" s="3" t="s">
        <v>438</v>
      </c>
      <c r="C44" s="3" t="s">
        <v>439</v>
      </c>
      <c r="D44" s="2"/>
      <c r="E44" s="12"/>
      <c r="F44" s="12"/>
      <c r="G44" s="3"/>
      <c r="H44" s="4"/>
      <c r="I44" s="4"/>
      <c r="J44" s="4"/>
      <c r="K44" s="4"/>
      <c r="L44" s="3"/>
    </row>
    <row r="45" spans="1:12" ht="29.25" thickBot="1">
      <c r="A45" s="3" t="s">
        <v>433</v>
      </c>
      <c r="B45" s="3" t="s">
        <v>440</v>
      </c>
      <c r="C45" s="3" t="s">
        <v>441</v>
      </c>
      <c r="D45" s="2"/>
      <c r="E45" s="12"/>
      <c r="F45" s="12"/>
      <c r="G45" s="3"/>
      <c r="H45" s="4"/>
      <c r="I45" s="4"/>
      <c r="J45" s="4"/>
      <c r="K45" s="4"/>
      <c r="L45" s="3"/>
    </row>
    <row r="46" spans="1:12" ht="29.25" thickBot="1">
      <c r="A46" s="3" t="s">
        <v>433</v>
      </c>
      <c r="B46" s="3" t="s">
        <v>442</v>
      </c>
      <c r="C46" s="3" t="s">
        <v>443</v>
      </c>
      <c r="D46" s="2"/>
      <c r="E46" s="12"/>
      <c r="F46" s="12"/>
      <c r="G46" s="3"/>
      <c r="H46" s="4"/>
      <c r="I46" s="4"/>
      <c r="J46" s="4"/>
      <c r="K46" s="4"/>
      <c r="L46" s="3"/>
    </row>
    <row r="47" spans="1:12" ht="43.5" thickBot="1">
      <c r="A47" s="3" t="s">
        <v>433</v>
      </c>
      <c r="B47" s="3" t="s">
        <v>444</v>
      </c>
      <c r="C47" s="3" t="s">
        <v>445</v>
      </c>
      <c r="D47" s="2"/>
      <c r="E47" s="12"/>
      <c r="F47" s="12"/>
      <c r="G47" s="3"/>
      <c r="H47" s="4"/>
      <c r="I47" s="4"/>
      <c r="J47" s="4"/>
      <c r="K47" s="4"/>
      <c r="L47" s="3"/>
    </row>
    <row r="48" spans="1:12" ht="29.25" thickBot="1">
      <c r="A48" s="3" t="s">
        <v>433</v>
      </c>
      <c r="B48" s="3" t="s">
        <v>446</v>
      </c>
      <c r="C48" s="3" t="s">
        <v>447</v>
      </c>
      <c r="D48" s="2"/>
      <c r="E48" s="12"/>
      <c r="F48" s="12"/>
      <c r="G48" s="3"/>
      <c r="H48" s="4"/>
      <c r="I48" s="4"/>
      <c r="J48" s="4"/>
      <c r="K48" s="4"/>
      <c r="L48" s="3"/>
    </row>
    <row r="49" spans="1:12" ht="57.75" thickBot="1">
      <c r="A49" s="3" t="s">
        <v>448</v>
      </c>
      <c r="B49" s="3" t="s">
        <v>449</v>
      </c>
      <c r="C49" s="3" t="s">
        <v>450</v>
      </c>
      <c r="D49" s="2"/>
      <c r="E49" s="12"/>
      <c r="F49" s="12"/>
      <c r="G49" s="3"/>
      <c r="H49" s="4"/>
      <c r="I49" s="4"/>
      <c r="J49" s="4"/>
      <c r="K49" s="4"/>
      <c r="L49" s="3"/>
    </row>
    <row r="50" spans="1:12" ht="57.75" thickBot="1">
      <c r="A50" s="3" t="s">
        <v>448</v>
      </c>
      <c r="B50" s="3" t="s">
        <v>449</v>
      </c>
      <c r="C50" s="3" t="s">
        <v>451</v>
      </c>
      <c r="D50" s="2"/>
      <c r="E50" s="12"/>
      <c r="F50" s="12"/>
      <c r="G50" s="3"/>
      <c r="H50" s="4"/>
      <c r="I50" s="4"/>
      <c r="J50" s="4"/>
      <c r="K50" s="4"/>
      <c r="L50" s="3"/>
    </row>
    <row r="51" spans="1:12" ht="57.75" thickBot="1">
      <c r="A51" s="3" t="s">
        <v>448</v>
      </c>
      <c r="B51" s="3" t="s">
        <v>452</v>
      </c>
      <c r="C51" s="3" t="s">
        <v>453</v>
      </c>
      <c r="D51" s="2"/>
      <c r="E51" s="12"/>
      <c r="F51" s="12"/>
      <c r="G51" s="3"/>
      <c r="H51" s="4"/>
      <c r="I51" s="4"/>
      <c r="J51" s="4"/>
      <c r="K51" s="4"/>
      <c r="L51" s="3"/>
    </row>
    <row r="52" spans="1:12" ht="57.75" thickBot="1">
      <c r="A52" s="3" t="s">
        <v>448</v>
      </c>
      <c r="B52" s="3" t="s">
        <v>452</v>
      </c>
      <c r="C52" s="3" t="s">
        <v>454</v>
      </c>
      <c r="D52" s="2"/>
      <c r="E52" s="12"/>
      <c r="F52" s="12"/>
      <c r="G52" s="3"/>
      <c r="H52" s="4"/>
      <c r="I52" s="4"/>
      <c r="J52" s="4"/>
      <c r="K52" s="4"/>
      <c r="L52" s="3"/>
    </row>
    <row r="53" spans="1:12" ht="57.75" thickBot="1">
      <c r="A53" s="3" t="s">
        <v>448</v>
      </c>
      <c r="B53" s="3" t="s">
        <v>452</v>
      </c>
      <c r="C53" s="3" t="s">
        <v>455</v>
      </c>
      <c r="D53" s="2"/>
      <c r="E53" s="12"/>
      <c r="F53" s="12"/>
      <c r="G53" s="3"/>
      <c r="H53" s="4"/>
      <c r="I53" s="4"/>
      <c r="J53" s="4"/>
      <c r="K53" s="4"/>
      <c r="L53" s="3"/>
    </row>
    <row r="54" spans="1:12" ht="57.75" thickBot="1">
      <c r="A54" s="3" t="s">
        <v>448</v>
      </c>
      <c r="B54" s="3" t="s">
        <v>456</v>
      </c>
      <c r="C54" s="3" t="s">
        <v>457</v>
      </c>
      <c r="D54" s="2"/>
      <c r="E54" s="12"/>
      <c r="F54" s="12"/>
      <c r="G54" s="3"/>
      <c r="H54" s="4"/>
      <c r="I54" s="4"/>
      <c r="J54" s="4"/>
      <c r="K54" s="4"/>
      <c r="L54" s="3"/>
    </row>
    <row r="55" spans="1:12" ht="57.75" thickBot="1">
      <c r="A55" s="3" t="s">
        <v>448</v>
      </c>
      <c r="B55" s="3" t="s">
        <v>458</v>
      </c>
      <c r="C55" s="3" t="s">
        <v>459</v>
      </c>
      <c r="D55" s="2"/>
      <c r="E55" s="12"/>
      <c r="F55" s="12"/>
      <c r="G55" s="3"/>
      <c r="H55" s="4"/>
      <c r="I55" s="4"/>
      <c r="J55" s="4"/>
      <c r="K55" s="4"/>
      <c r="L55" s="3"/>
    </row>
    <row r="56" spans="1:12" ht="57.75" thickBot="1">
      <c r="A56" s="3" t="s">
        <v>448</v>
      </c>
      <c r="B56" s="3" t="s">
        <v>460</v>
      </c>
      <c r="C56" s="3" t="s">
        <v>461</v>
      </c>
      <c r="D56" s="2"/>
      <c r="E56" s="12"/>
      <c r="F56" s="12"/>
      <c r="G56" s="3"/>
      <c r="H56" s="4"/>
      <c r="I56" s="4"/>
      <c r="J56" s="4"/>
      <c r="K56" s="4"/>
      <c r="L56" s="3"/>
    </row>
    <row r="57" spans="1:12" ht="57.75" thickBot="1">
      <c r="A57" s="3" t="s">
        <v>448</v>
      </c>
      <c r="B57" s="3" t="s">
        <v>462</v>
      </c>
      <c r="C57" s="3" t="s">
        <v>463</v>
      </c>
      <c r="D57" s="2"/>
      <c r="E57" s="12"/>
      <c r="F57" s="12"/>
      <c r="G57" s="3"/>
      <c r="H57" s="4"/>
      <c r="I57" s="4"/>
      <c r="J57" s="4"/>
      <c r="K57" s="4"/>
      <c r="L57" s="3"/>
    </row>
    <row r="58" spans="1:12" ht="29.25" thickBot="1">
      <c r="A58" s="3" t="s">
        <v>464</v>
      </c>
      <c r="B58" s="3" t="s">
        <v>465</v>
      </c>
      <c r="C58" s="3" t="s">
        <v>466</v>
      </c>
      <c r="D58" s="2"/>
      <c r="E58" s="12"/>
      <c r="F58" s="12"/>
      <c r="G58" s="3"/>
      <c r="H58" s="4"/>
      <c r="I58" s="4"/>
      <c r="J58" s="4"/>
      <c r="K58" s="4"/>
      <c r="L58" s="3"/>
    </row>
    <row r="59" spans="1:12" ht="43.5" thickBot="1">
      <c r="A59" s="3" t="s">
        <v>464</v>
      </c>
      <c r="B59" s="3" t="s">
        <v>467</v>
      </c>
      <c r="C59" s="3" t="s">
        <v>468</v>
      </c>
      <c r="D59" s="2"/>
      <c r="E59" s="12"/>
      <c r="F59" s="12"/>
      <c r="G59" s="3"/>
      <c r="H59" s="4"/>
      <c r="I59" s="4"/>
      <c r="J59" s="4"/>
      <c r="K59" s="4"/>
      <c r="L59" s="3"/>
    </row>
    <row r="60" spans="1:12" ht="29.25" thickBot="1">
      <c r="A60" s="3" t="s">
        <v>464</v>
      </c>
      <c r="B60" s="3" t="s">
        <v>469</v>
      </c>
      <c r="C60" s="3" t="s">
        <v>470</v>
      </c>
      <c r="D60" s="2"/>
      <c r="E60" s="12"/>
      <c r="F60" s="12"/>
      <c r="G60" s="3"/>
      <c r="H60" s="4"/>
      <c r="I60" s="4"/>
      <c r="J60" s="4"/>
      <c r="K60" s="4"/>
      <c r="L60" s="3"/>
    </row>
    <row r="61" spans="1:12" ht="15.75" thickBot="1">
      <c r="A61" s="3"/>
      <c r="B61" s="3"/>
      <c r="C61" s="3"/>
      <c r="D61" s="2"/>
      <c r="E61" s="12"/>
      <c r="F61" s="12"/>
      <c r="G61" s="3"/>
      <c r="H61" s="4"/>
      <c r="I61" s="4"/>
      <c r="J61" s="4"/>
      <c r="K61" s="4"/>
      <c r="L61" s="3"/>
    </row>
    <row r="62" spans="1:12" ht="15.75" thickBot="1">
      <c r="A62" s="3"/>
      <c r="B62" s="3"/>
      <c r="C62" s="3"/>
      <c r="D62" s="2"/>
      <c r="E62" s="12"/>
      <c r="F62" s="12"/>
      <c r="G62" s="3"/>
      <c r="H62" s="4"/>
      <c r="I62" s="4"/>
      <c r="J62" s="4"/>
      <c r="K62" s="4"/>
      <c r="L62" s="3"/>
    </row>
    <row r="63" spans="1:12" ht="15.75" thickBot="1">
      <c r="A63" s="3"/>
      <c r="B63" s="3"/>
      <c r="C63" s="3"/>
      <c r="D63" s="2"/>
      <c r="E63" s="12"/>
      <c r="F63" s="12"/>
      <c r="G63" s="3"/>
      <c r="H63" s="4"/>
      <c r="I63" s="4"/>
      <c r="J63" s="4"/>
      <c r="K63" s="4"/>
      <c r="L63" s="3"/>
    </row>
    <row r="64" spans="1:12" ht="15.75" thickBot="1">
      <c r="A64" s="3"/>
      <c r="B64" s="3"/>
      <c r="C64" s="3"/>
      <c r="D64" s="2"/>
      <c r="E64" s="12"/>
      <c r="F64" s="12"/>
      <c r="G64" s="3"/>
      <c r="H64" s="4"/>
      <c r="I64" s="4"/>
      <c r="J64" s="4"/>
      <c r="K64" s="4"/>
      <c r="L64" s="3"/>
    </row>
    <row r="65" spans="1:12" ht="15.75" thickBot="1">
      <c r="A65" s="3"/>
      <c r="B65" s="3"/>
      <c r="C65" s="3"/>
      <c r="D65" s="2"/>
      <c r="E65" s="12"/>
      <c r="F65" s="12"/>
      <c r="G65" s="3"/>
      <c r="H65" s="4"/>
      <c r="I65" s="4"/>
      <c r="J65" s="4"/>
      <c r="K65" s="4"/>
      <c r="L65" s="3"/>
    </row>
    <row r="66" spans="1:12" ht="15.75" thickBot="1">
      <c r="A66" s="3"/>
      <c r="B66" s="3"/>
      <c r="C66" s="3"/>
      <c r="D66" s="2"/>
      <c r="E66" s="12"/>
      <c r="F66" s="12"/>
      <c r="G66" s="3"/>
      <c r="H66" s="4"/>
      <c r="I66" s="4"/>
      <c r="J66" s="4"/>
      <c r="K66" s="4"/>
      <c r="L66" s="3"/>
    </row>
    <row r="67" spans="1:12" ht="15.75" thickBot="1">
      <c r="A67" s="3"/>
      <c r="B67" s="3"/>
      <c r="C67" s="3"/>
      <c r="D67" s="2"/>
      <c r="E67" s="12"/>
      <c r="F67" s="12"/>
      <c r="G67" s="3"/>
      <c r="H67" s="4"/>
      <c r="I67" s="4"/>
      <c r="J67" s="4"/>
      <c r="K67" s="4"/>
      <c r="L67" s="3"/>
    </row>
    <row r="68" spans="1:12" ht="15.75" thickBot="1">
      <c r="A68" s="3"/>
      <c r="B68" s="3"/>
      <c r="C68" s="3"/>
      <c r="D68" s="2"/>
      <c r="E68" s="12"/>
      <c r="F68" s="12"/>
      <c r="G68" s="3"/>
      <c r="H68" s="4"/>
      <c r="I68" s="4"/>
      <c r="J68" s="4"/>
      <c r="K68" s="4"/>
      <c r="L68" s="3"/>
    </row>
    <row r="69" spans="1:12" ht="15.75" thickBot="1">
      <c r="A69" s="3"/>
      <c r="B69" s="3"/>
      <c r="C69" s="3"/>
      <c r="D69" s="2"/>
      <c r="E69" s="12"/>
      <c r="F69" s="12"/>
      <c r="G69" s="3"/>
      <c r="H69" s="4"/>
      <c r="I69" s="4"/>
      <c r="J69" s="4"/>
      <c r="K69" s="4"/>
      <c r="L69" s="3"/>
    </row>
    <row r="70" spans="1:12" ht="15.75" thickBot="1">
      <c r="A70" s="3"/>
      <c r="B70" s="3"/>
      <c r="C70" s="3"/>
      <c r="D70" s="2"/>
      <c r="E70" s="12"/>
      <c r="F70" s="12"/>
      <c r="G70" s="3"/>
      <c r="H70" s="4"/>
      <c r="I70" s="4"/>
      <c r="J70" s="4"/>
      <c r="K70" s="4"/>
      <c r="L70" s="3"/>
    </row>
    <row r="71" spans="1:12" ht="15.75" thickBot="1">
      <c r="A71" s="3"/>
      <c r="B71" s="3"/>
      <c r="C71" s="3"/>
      <c r="D71" s="2"/>
      <c r="E71" s="12"/>
      <c r="F71" s="12"/>
      <c r="G71" s="3"/>
      <c r="H71" s="4"/>
      <c r="I71" s="4"/>
      <c r="J71" s="4"/>
      <c r="K71" s="4"/>
      <c r="L71" s="3"/>
    </row>
    <row r="72" spans="1:12" ht="15.75" thickBot="1">
      <c r="A72" s="3"/>
      <c r="B72" s="3"/>
      <c r="C72" s="3"/>
      <c r="D72" s="2"/>
      <c r="E72" s="12"/>
      <c r="F72" s="12"/>
      <c r="G72" s="3"/>
      <c r="H72" s="4"/>
      <c r="I72" s="4"/>
      <c r="J72" s="4"/>
      <c r="K72" s="4"/>
      <c r="L72" s="3"/>
    </row>
    <row r="73" spans="1:12" ht="15.75" thickBot="1">
      <c r="A73" s="3"/>
      <c r="B73" s="3"/>
      <c r="C73" s="3"/>
      <c r="D73" s="2"/>
      <c r="E73" s="12"/>
      <c r="F73" s="12"/>
      <c r="G73" s="3"/>
      <c r="H73" s="4"/>
      <c r="I73" s="4"/>
      <c r="J73" s="4"/>
      <c r="K73" s="4"/>
      <c r="L73" s="3"/>
    </row>
    <row r="74" spans="1:12" ht="15.75" thickBot="1">
      <c r="A74" s="3"/>
      <c r="B74" s="3"/>
      <c r="C74" s="3"/>
      <c r="D74" s="2"/>
      <c r="E74" s="12"/>
      <c r="F74" s="12"/>
      <c r="G74" s="3"/>
      <c r="H74" s="4"/>
      <c r="I74" s="4"/>
      <c r="J74" s="4"/>
      <c r="K74" s="4"/>
      <c r="L74" s="3"/>
    </row>
    <row r="75" spans="1:12" ht="15.75" thickBot="1">
      <c r="A75" s="3"/>
      <c r="B75" s="3"/>
      <c r="C75" s="3"/>
      <c r="D75" s="2"/>
      <c r="E75" s="12"/>
      <c r="F75" s="12"/>
      <c r="G75" s="3"/>
      <c r="H75" s="4"/>
      <c r="I75" s="4"/>
      <c r="J75" s="4"/>
      <c r="K75" s="4"/>
      <c r="L75" s="3"/>
    </row>
    <row r="76" spans="1:12" ht="15.75" thickBot="1">
      <c r="A76" s="3"/>
      <c r="B76" s="3"/>
      <c r="C76" s="3"/>
      <c r="D76" s="2"/>
      <c r="E76" s="12"/>
      <c r="F76" s="12"/>
      <c r="G76" s="3"/>
      <c r="H76" s="4"/>
      <c r="I76" s="4"/>
      <c r="J76" s="4"/>
      <c r="K76" s="4"/>
      <c r="L76" s="3"/>
    </row>
    <row r="77" spans="1:12" ht="15.75" thickBot="1">
      <c r="A77" s="3"/>
      <c r="B77" s="3"/>
      <c r="C77" s="3"/>
      <c r="D77" s="2"/>
      <c r="E77" s="12"/>
      <c r="F77" s="12"/>
      <c r="G77" s="3"/>
      <c r="H77" s="4"/>
      <c r="I77" s="4"/>
      <c r="J77" s="4"/>
      <c r="K77" s="4"/>
      <c r="L77" s="3"/>
    </row>
    <row r="78" spans="1:12" ht="15.75" thickBot="1">
      <c r="A78" s="3"/>
      <c r="B78" s="3"/>
      <c r="C78" s="3"/>
      <c r="D78" s="2"/>
      <c r="E78" s="12"/>
      <c r="F78" s="12"/>
      <c r="G78" s="3"/>
      <c r="H78" s="4"/>
      <c r="I78" s="4"/>
      <c r="J78" s="4"/>
      <c r="K78" s="4"/>
      <c r="L78" s="3"/>
    </row>
    <row r="79" spans="1:12" ht="15.75" thickBot="1">
      <c r="A79" s="3"/>
      <c r="B79" s="3"/>
      <c r="C79" s="3"/>
      <c r="D79" s="2"/>
      <c r="E79" s="12"/>
      <c r="F79" s="12"/>
      <c r="G79" s="3"/>
      <c r="H79" s="4"/>
      <c r="I79" s="4"/>
      <c r="J79" s="4"/>
      <c r="K79" s="4"/>
      <c r="L79" s="3"/>
    </row>
    <row r="80" spans="1:12" ht="15.75" thickBot="1">
      <c r="A80" s="3"/>
      <c r="B80" s="3"/>
      <c r="C80" s="3"/>
      <c r="D80" s="2"/>
      <c r="E80" s="12"/>
      <c r="F80" s="12"/>
      <c r="G80" s="3"/>
      <c r="H80" s="4"/>
      <c r="I80" s="4"/>
      <c r="J80" s="4"/>
      <c r="K80" s="4"/>
      <c r="L80" s="3"/>
    </row>
    <row r="81" spans="1:12" ht="15.75" thickBot="1">
      <c r="A81" s="3"/>
      <c r="B81" s="3"/>
      <c r="C81" s="3"/>
      <c r="D81" s="2"/>
      <c r="E81" s="12"/>
      <c r="F81" s="12"/>
      <c r="G81" s="3"/>
      <c r="H81" s="4"/>
      <c r="I81" s="4"/>
      <c r="J81" s="4"/>
      <c r="K81" s="4"/>
      <c r="L81" s="3"/>
    </row>
    <row r="82" spans="1:12" ht="15.75" thickBot="1">
      <c r="A82" s="3"/>
      <c r="B82" s="3"/>
      <c r="C82" s="3"/>
      <c r="D82" s="2"/>
      <c r="E82" s="12"/>
      <c r="F82" s="12"/>
      <c r="G82" s="3"/>
      <c r="H82" s="4"/>
      <c r="I82" s="4"/>
      <c r="J82" s="4"/>
      <c r="K82" s="4"/>
      <c r="L82" s="3"/>
    </row>
    <row r="83" spans="1:12" ht="15.75" thickBot="1">
      <c r="A83" s="3"/>
      <c r="B83" s="3"/>
      <c r="C83" s="3"/>
      <c r="D83" s="2"/>
      <c r="E83" s="12"/>
      <c r="F83" s="12"/>
      <c r="G83" s="3"/>
      <c r="H83" s="4"/>
      <c r="I83" s="4"/>
      <c r="J83" s="4"/>
      <c r="K83" s="4"/>
      <c r="L83" s="3"/>
    </row>
    <row r="84" spans="1:12" ht="15.75" thickBot="1">
      <c r="A84" s="3"/>
      <c r="B84" s="3"/>
      <c r="C84" s="3"/>
      <c r="D84" s="2"/>
      <c r="E84" s="12"/>
      <c r="F84" s="12"/>
      <c r="G84" s="3"/>
      <c r="H84" s="4"/>
      <c r="I84" s="4"/>
      <c r="J84" s="4"/>
      <c r="K84" s="4"/>
      <c r="L84" s="3"/>
    </row>
    <row r="85" spans="1:12" ht="15.75" thickBot="1">
      <c r="A85" s="3"/>
      <c r="B85" s="3"/>
      <c r="C85" s="3"/>
      <c r="D85" s="2"/>
      <c r="E85" s="12"/>
      <c r="F85" s="12"/>
      <c r="G85" s="3"/>
      <c r="H85" s="4"/>
      <c r="I85" s="4"/>
      <c r="J85" s="4"/>
      <c r="K85" s="4"/>
      <c r="L85" s="3"/>
    </row>
    <row r="86" spans="1:12" ht="15.75" thickBot="1">
      <c r="A86" s="3"/>
      <c r="B86" s="3"/>
      <c r="C86" s="3"/>
      <c r="D86" s="2"/>
      <c r="E86" s="12"/>
      <c r="F86" s="12"/>
      <c r="G86" s="3"/>
      <c r="H86" s="4"/>
      <c r="I86" s="4"/>
      <c r="J86" s="4"/>
      <c r="K86" s="4"/>
      <c r="L86" s="3"/>
    </row>
    <row r="87" spans="1:12" ht="15.75" thickBot="1">
      <c r="A87" s="3"/>
      <c r="B87" s="3"/>
      <c r="C87" s="3"/>
      <c r="D87" s="2"/>
      <c r="E87" s="12"/>
      <c r="F87" s="12"/>
      <c r="G87" s="3"/>
      <c r="H87" s="4"/>
      <c r="I87" s="4"/>
      <c r="J87" s="4"/>
      <c r="K87" s="4"/>
      <c r="L87" s="3"/>
    </row>
    <row r="88" spans="1:12" ht="15.75" thickBot="1">
      <c r="A88" s="3"/>
      <c r="B88" s="3"/>
      <c r="C88" s="3"/>
      <c r="D88" s="2"/>
      <c r="E88" s="12"/>
      <c r="F88" s="12"/>
      <c r="G88" s="3"/>
      <c r="H88" s="4"/>
      <c r="I88" s="4"/>
      <c r="J88" s="4"/>
      <c r="K88" s="4"/>
      <c r="L88" s="3"/>
    </row>
    <row r="89" spans="1:12" ht="15.75" thickBot="1">
      <c r="A89" s="3"/>
      <c r="B89" s="3"/>
      <c r="C89" s="3"/>
      <c r="D89" s="2"/>
      <c r="E89" s="12"/>
      <c r="F89" s="12"/>
      <c r="G89" s="3"/>
      <c r="H89" s="4"/>
      <c r="I89" s="4"/>
      <c r="J89" s="4"/>
      <c r="K89" s="4"/>
      <c r="L89" s="3"/>
    </row>
    <row r="90" spans="1:12" ht="15.75" thickBot="1">
      <c r="A90" s="3"/>
      <c r="B90" s="3"/>
      <c r="C90" s="3"/>
      <c r="D90" s="2"/>
      <c r="E90" s="12"/>
      <c r="F90" s="12"/>
      <c r="G90" s="3"/>
      <c r="H90" s="4"/>
      <c r="I90" s="4"/>
      <c r="J90" s="4"/>
      <c r="K90" s="4"/>
      <c r="L90" s="3"/>
    </row>
    <row r="91" spans="1:12" ht="15.75" thickBot="1">
      <c r="A91" s="3"/>
      <c r="B91" s="3"/>
      <c r="C91" s="3"/>
      <c r="D91" s="2"/>
      <c r="E91" s="12"/>
      <c r="F91" s="12"/>
      <c r="G91" s="3"/>
      <c r="H91" s="4"/>
      <c r="I91" s="4"/>
      <c r="J91" s="4"/>
      <c r="K91" s="4"/>
      <c r="L91" s="3"/>
    </row>
    <row r="92" spans="1:12" ht="15.75" thickBot="1">
      <c r="A92" s="3"/>
      <c r="B92" s="3"/>
      <c r="C92" s="3"/>
      <c r="D92" s="2"/>
      <c r="E92" s="12"/>
      <c r="F92" s="12"/>
      <c r="G92" s="3"/>
      <c r="H92" s="4"/>
      <c r="I92" s="4"/>
      <c r="J92" s="4"/>
      <c r="K92" s="4"/>
      <c r="L92" s="3"/>
    </row>
    <row r="93" spans="1:12" ht="15.75" thickBot="1">
      <c r="A93" s="3"/>
      <c r="B93" s="3"/>
      <c r="C93" s="3"/>
      <c r="D93" s="2"/>
      <c r="E93" s="12"/>
      <c r="F93" s="12"/>
      <c r="G93" s="3"/>
      <c r="H93" s="4"/>
      <c r="I93" s="4"/>
      <c r="J93" s="4"/>
      <c r="K93" s="4"/>
      <c r="L93" s="3"/>
    </row>
    <row r="94" spans="1:12" ht="15.75" thickBot="1">
      <c r="A94" s="3"/>
      <c r="B94" s="3"/>
      <c r="C94" s="3"/>
      <c r="D94" s="2"/>
      <c r="E94" s="12"/>
      <c r="F94" s="12"/>
      <c r="G94" s="3"/>
      <c r="H94" s="4"/>
      <c r="I94" s="4"/>
      <c r="J94" s="4"/>
      <c r="K94" s="4"/>
      <c r="L94" s="3"/>
    </row>
    <row r="95" spans="1:12" ht="15.75" thickBot="1">
      <c r="A95" s="3"/>
      <c r="B95" s="3"/>
      <c r="C95" s="3"/>
      <c r="D95" s="2"/>
      <c r="E95" s="12"/>
      <c r="F95" s="12"/>
      <c r="G95" s="3"/>
      <c r="H95" s="4"/>
      <c r="I95" s="4"/>
      <c r="J95" s="4"/>
      <c r="K95" s="4"/>
      <c r="L95" s="3"/>
    </row>
    <row r="96" spans="1:12" ht="15.75" thickBot="1">
      <c r="A96" s="3"/>
      <c r="B96" s="3"/>
      <c r="C96" s="3"/>
      <c r="D96" s="2"/>
      <c r="E96" s="12"/>
      <c r="F96" s="12"/>
      <c r="G96" s="3"/>
      <c r="H96" s="4"/>
      <c r="I96" s="4"/>
      <c r="J96" s="4"/>
      <c r="K96" s="4"/>
      <c r="L96" s="3"/>
    </row>
    <row r="97" spans="1:12" ht="15.75" thickBot="1">
      <c r="A97" s="3"/>
      <c r="B97" s="3"/>
      <c r="C97" s="3"/>
      <c r="D97" s="2"/>
      <c r="E97" s="12"/>
      <c r="F97" s="12"/>
      <c r="G97" s="3"/>
      <c r="H97" s="4"/>
      <c r="I97" s="4"/>
      <c r="J97" s="4"/>
      <c r="K97" s="4"/>
      <c r="L97" s="3"/>
    </row>
    <row r="98" spans="1:12" ht="15.75" thickBot="1">
      <c r="A98" s="3"/>
      <c r="B98" s="3"/>
      <c r="C98" s="3"/>
      <c r="D98" s="2"/>
      <c r="E98" s="12"/>
      <c r="F98" s="12"/>
      <c r="G98" s="3"/>
      <c r="H98" s="4"/>
      <c r="I98" s="4"/>
      <c r="J98" s="4"/>
      <c r="K98" s="4"/>
      <c r="L98" s="3"/>
    </row>
    <row r="99" spans="1:12" ht="15.75" thickBot="1">
      <c r="A99" s="3"/>
      <c r="B99" s="3"/>
      <c r="C99" s="3"/>
      <c r="D99" s="2"/>
      <c r="E99" s="12"/>
      <c r="F99" s="12"/>
      <c r="G99" s="3"/>
      <c r="H99" s="4"/>
      <c r="I99" s="4"/>
      <c r="J99" s="4"/>
      <c r="K99" s="4"/>
      <c r="L99" s="3"/>
    </row>
    <row r="100" spans="1:12" ht="15.75" thickBot="1">
      <c r="A100" s="3"/>
      <c r="B100" s="3"/>
      <c r="C100" s="3"/>
      <c r="D100" s="2"/>
      <c r="E100" s="12"/>
      <c r="F100" s="12"/>
      <c r="G100" s="3"/>
      <c r="H100" s="4"/>
      <c r="I100" s="4"/>
      <c r="J100" s="4"/>
      <c r="K100" s="4"/>
      <c r="L100" s="3"/>
    </row>
    <row r="101" spans="1:12" ht="15.75" thickBot="1">
      <c r="A101" s="3"/>
      <c r="B101" s="3"/>
      <c r="C101" s="3"/>
      <c r="D101" s="2"/>
      <c r="E101" s="12"/>
      <c r="F101" s="12"/>
      <c r="G101" s="3"/>
      <c r="H101" s="4"/>
      <c r="I101" s="4"/>
      <c r="J101" s="4"/>
      <c r="K101" s="4"/>
      <c r="L101" s="3"/>
    </row>
    <row r="102" spans="1:12" ht="15.75" thickBot="1">
      <c r="A102" s="3"/>
      <c r="B102" s="3"/>
      <c r="C102" s="3"/>
      <c r="D102" s="2"/>
      <c r="E102" s="12"/>
      <c r="F102" s="12"/>
      <c r="G102" s="3"/>
      <c r="H102" s="4"/>
      <c r="I102" s="4"/>
      <c r="J102" s="4"/>
      <c r="K102" s="4"/>
      <c r="L102" s="3"/>
    </row>
    <row r="103" spans="1:12" ht="15.75" thickBot="1">
      <c r="A103" s="3"/>
      <c r="B103" s="3"/>
      <c r="C103" s="3"/>
      <c r="D103" s="2"/>
      <c r="E103" s="12"/>
      <c r="F103" s="12"/>
      <c r="G103" s="3"/>
      <c r="H103" s="4"/>
      <c r="I103" s="4"/>
      <c r="J103" s="4"/>
      <c r="K103" s="4"/>
      <c r="L103" s="3"/>
    </row>
    <row r="104" spans="1:12" ht="15.75" thickBot="1">
      <c r="A104" s="3"/>
      <c r="B104" s="3"/>
      <c r="C104" s="3"/>
      <c r="D104" s="2"/>
      <c r="E104" s="12"/>
      <c r="F104" s="12"/>
      <c r="G104" s="3"/>
      <c r="H104" s="4"/>
      <c r="I104" s="4"/>
      <c r="J104" s="4"/>
      <c r="K104" s="4"/>
      <c r="L104" s="3"/>
    </row>
    <row r="105" spans="1:12" ht="15.75" thickBot="1">
      <c r="A105" s="3"/>
      <c r="B105" s="3"/>
      <c r="C105" s="3"/>
      <c r="D105" s="2"/>
      <c r="E105" s="12"/>
      <c r="F105" s="12"/>
      <c r="G105" s="3"/>
      <c r="H105" s="4"/>
      <c r="I105" s="4"/>
      <c r="J105" s="4"/>
      <c r="K105" s="4"/>
      <c r="L105" s="3"/>
    </row>
    <row r="106" spans="1:12" ht="15.75" thickBot="1">
      <c r="A106" s="3"/>
      <c r="B106" s="3"/>
      <c r="C106" s="3"/>
      <c r="D106" s="2"/>
      <c r="E106" s="12"/>
      <c r="F106" s="12"/>
      <c r="G106" s="3"/>
      <c r="H106" s="4"/>
      <c r="I106" s="4"/>
      <c r="J106" s="4"/>
      <c r="K106" s="4"/>
      <c r="L106" s="3"/>
    </row>
    <row r="107" spans="1:12" ht="15.75" thickBot="1">
      <c r="A107" s="3"/>
      <c r="B107" s="3"/>
      <c r="C107" s="3"/>
      <c r="D107" s="2"/>
      <c r="E107" s="12"/>
      <c r="F107" s="12"/>
      <c r="G107" s="3"/>
      <c r="H107" s="4"/>
      <c r="I107" s="4"/>
      <c r="J107" s="4"/>
      <c r="K107" s="4"/>
      <c r="L107" s="3"/>
    </row>
    <row r="108" spans="1:12" ht="15.75" thickBot="1">
      <c r="A108" s="3"/>
      <c r="B108" s="3"/>
      <c r="C108" s="3"/>
      <c r="D108" s="2"/>
      <c r="E108" s="12"/>
      <c r="F108" s="12"/>
      <c r="G108" s="3"/>
      <c r="H108" s="4"/>
      <c r="I108" s="4"/>
      <c r="J108" s="4"/>
      <c r="K108" s="4"/>
      <c r="L108" s="3"/>
    </row>
    <row r="109" spans="1:12" ht="15.75" thickBot="1">
      <c r="A109" s="3"/>
      <c r="B109" s="3"/>
      <c r="C109" s="3"/>
      <c r="D109" s="2"/>
      <c r="E109" s="12"/>
      <c r="F109" s="12"/>
      <c r="G109" s="3"/>
      <c r="H109" s="4"/>
      <c r="I109" s="4"/>
      <c r="J109" s="4"/>
      <c r="K109" s="4"/>
      <c r="L109" s="3"/>
    </row>
    <row r="110" spans="1:12" ht="15.75" thickBot="1">
      <c r="A110" s="3"/>
      <c r="B110" s="3"/>
      <c r="C110" s="3"/>
      <c r="D110" s="2"/>
      <c r="E110" s="12"/>
      <c r="F110" s="12"/>
      <c r="G110" s="3"/>
      <c r="H110" s="4"/>
      <c r="I110" s="4"/>
      <c r="J110" s="4"/>
      <c r="K110" s="4"/>
      <c r="L110" s="3"/>
    </row>
    <row r="111" spans="1:12" ht="15.75" thickBot="1">
      <c r="A111" s="3"/>
      <c r="B111" s="3"/>
      <c r="C111" s="3"/>
      <c r="D111" s="2"/>
      <c r="E111" s="12"/>
      <c r="F111" s="12"/>
      <c r="G111" s="3"/>
      <c r="H111" s="4"/>
      <c r="I111" s="4"/>
      <c r="J111" s="4"/>
      <c r="K111" s="4"/>
      <c r="L111" s="3"/>
    </row>
    <row r="112" spans="1:12" ht="15.75" thickBot="1">
      <c r="A112" s="3"/>
      <c r="B112" s="3"/>
      <c r="C112" s="3"/>
      <c r="D112" s="2"/>
      <c r="E112" s="12"/>
      <c r="F112" s="12"/>
      <c r="G112" s="3"/>
      <c r="H112" s="4"/>
      <c r="I112" s="4"/>
      <c r="J112" s="4"/>
      <c r="K112" s="4"/>
      <c r="L112" s="3"/>
    </row>
    <row r="113" spans="1:12" ht="15.75" thickBot="1">
      <c r="A113" s="3"/>
      <c r="B113" s="3"/>
      <c r="C113" s="3"/>
      <c r="D113" s="2"/>
      <c r="E113" s="12"/>
      <c r="F113" s="12"/>
      <c r="G113" s="3"/>
      <c r="H113" s="4"/>
      <c r="I113" s="4"/>
      <c r="J113" s="4"/>
      <c r="K113" s="4"/>
      <c r="L113" s="3"/>
    </row>
    <row r="114" spans="1:12" ht="15.75" thickBot="1">
      <c r="A114" s="3"/>
      <c r="B114" s="3"/>
      <c r="C114" s="3"/>
      <c r="D114" s="2"/>
      <c r="E114" s="12"/>
      <c r="F114" s="12"/>
      <c r="G114" s="3"/>
      <c r="H114" s="4"/>
      <c r="I114" s="4"/>
      <c r="J114" s="4"/>
      <c r="K114" s="4"/>
      <c r="L114" s="3"/>
    </row>
    <row r="115" spans="1:12" ht="15.75" thickBot="1">
      <c r="A115" s="3"/>
      <c r="B115" s="3"/>
      <c r="C115" s="3"/>
      <c r="D115" s="2"/>
      <c r="E115" s="12"/>
      <c r="F115" s="12"/>
      <c r="G115" s="3"/>
      <c r="H115" s="4"/>
      <c r="I115" s="4"/>
      <c r="J115" s="4"/>
      <c r="K115" s="4"/>
      <c r="L115" s="3"/>
    </row>
    <row r="116" spans="1:12" ht="15.75" thickBot="1">
      <c r="A116" s="3"/>
      <c r="B116" s="3"/>
      <c r="C116" s="3"/>
      <c r="D116" s="2"/>
      <c r="E116" s="12"/>
      <c r="F116" s="12"/>
      <c r="G116" s="3"/>
      <c r="H116" s="4"/>
      <c r="I116" s="4"/>
      <c r="J116" s="4"/>
      <c r="K116" s="4"/>
      <c r="L116" s="3"/>
    </row>
    <row r="117" spans="1:12" ht="15.75" thickBot="1">
      <c r="A117" s="3"/>
      <c r="B117" s="3"/>
      <c r="C117" s="3"/>
      <c r="D117" s="2"/>
      <c r="E117" s="12"/>
      <c r="F117" s="12"/>
      <c r="G117" s="3"/>
      <c r="H117" s="4"/>
      <c r="I117" s="4"/>
      <c r="J117" s="4"/>
      <c r="K117" s="4"/>
      <c r="L117" s="3"/>
    </row>
    <row r="118" spans="1:12" ht="15.75" thickBot="1">
      <c r="A118" s="3"/>
      <c r="B118" s="3"/>
      <c r="C118" s="3"/>
      <c r="D118" s="2"/>
      <c r="E118" s="12"/>
      <c r="F118" s="12"/>
      <c r="G118" s="3"/>
      <c r="H118" s="4"/>
      <c r="I118" s="4"/>
      <c r="J118" s="4"/>
      <c r="K118" s="4"/>
      <c r="L118" s="3"/>
    </row>
    <row r="119" spans="1:12" ht="15.75" thickBot="1">
      <c r="A119" s="3"/>
      <c r="B119" s="3"/>
      <c r="C119" s="3"/>
      <c r="D119" s="2"/>
      <c r="E119" s="12"/>
      <c r="F119" s="12"/>
      <c r="G119" s="3"/>
      <c r="H119" s="4"/>
      <c r="I119" s="4"/>
      <c r="J119" s="4"/>
      <c r="K119" s="4"/>
      <c r="L119" s="3"/>
    </row>
    <row r="120" spans="1:12" ht="15.75" thickBot="1">
      <c r="A120" s="3"/>
      <c r="B120" s="3"/>
      <c r="C120" s="3"/>
      <c r="D120" s="2"/>
      <c r="E120" s="12"/>
      <c r="F120" s="12"/>
      <c r="G120" s="3"/>
      <c r="H120" s="4"/>
      <c r="I120" s="4"/>
      <c r="J120" s="4"/>
      <c r="K120" s="4"/>
      <c r="L120" s="3"/>
    </row>
    <row r="121" spans="1:12" ht="15.75" thickBot="1">
      <c r="A121" s="3"/>
      <c r="B121" s="3"/>
      <c r="C121" s="3"/>
      <c r="D121" s="2"/>
      <c r="E121" s="12"/>
      <c r="F121" s="12"/>
      <c r="G121" s="3"/>
      <c r="H121" s="4"/>
      <c r="I121" s="4"/>
      <c r="J121" s="4"/>
      <c r="K121" s="4"/>
      <c r="L121" s="3"/>
    </row>
    <row r="122" spans="1:12" ht="15.75" thickBot="1">
      <c r="A122" s="3"/>
      <c r="B122" s="3"/>
      <c r="C122" s="3"/>
      <c r="D122" s="2"/>
      <c r="E122" s="12"/>
      <c r="F122" s="12"/>
      <c r="G122" s="3"/>
      <c r="H122" s="4"/>
      <c r="I122" s="4"/>
      <c r="J122" s="4"/>
      <c r="K122" s="4"/>
      <c r="L122" s="3"/>
    </row>
    <row r="123" spans="1:12" ht="15.75" thickBot="1">
      <c r="A123" s="3"/>
      <c r="B123" s="3"/>
      <c r="C123" s="3"/>
      <c r="D123" s="2"/>
      <c r="E123" s="12"/>
      <c r="F123" s="12"/>
      <c r="G123" s="3"/>
      <c r="H123" s="4"/>
      <c r="I123" s="4"/>
      <c r="J123" s="4"/>
      <c r="K123" s="4"/>
      <c r="L123" s="3"/>
    </row>
    <row r="124" spans="1:12" ht="15.75" thickBot="1">
      <c r="A124" s="3"/>
      <c r="B124" s="3"/>
      <c r="C124" s="3"/>
      <c r="D124" s="2"/>
      <c r="E124" s="12"/>
      <c r="F124" s="12"/>
      <c r="G124" s="3"/>
      <c r="H124" s="4"/>
      <c r="I124" s="4"/>
      <c r="J124" s="4"/>
      <c r="K124" s="4"/>
      <c r="L124" s="3"/>
    </row>
    <row r="125" spans="1:12" ht="15.75" thickBot="1">
      <c r="A125" s="3"/>
      <c r="B125" s="3"/>
      <c r="C125" s="3"/>
      <c r="D125" s="2"/>
      <c r="E125" s="12"/>
      <c r="F125" s="12"/>
      <c r="G125" s="3"/>
      <c r="H125" s="4"/>
      <c r="I125" s="4"/>
      <c r="J125" s="4"/>
      <c r="K125" s="4"/>
      <c r="L125" s="3"/>
    </row>
    <row r="126" spans="1:12" ht="15.75" thickBot="1">
      <c r="A126" s="3"/>
      <c r="B126" s="3"/>
      <c r="C126" s="3"/>
      <c r="D126" s="2"/>
      <c r="E126" s="12"/>
      <c r="F126" s="12"/>
      <c r="G126" s="3"/>
      <c r="H126" s="4"/>
      <c r="I126" s="4"/>
      <c r="J126" s="4"/>
      <c r="K126" s="4"/>
      <c r="L126" s="3"/>
    </row>
    <row r="127" spans="1:12" ht="15.75" thickBot="1">
      <c r="A127" s="3"/>
      <c r="B127" s="3"/>
      <c r="C127" s="3"/>
      <c r="D127" s="2"/>
      <c r="E127" s="12"/>
      <c r="F127" s="12"/>
      <c r="G127" s="3"/>
      <c r="H127" s="4"/>
      <c r="I127" s="4"/>
      <c r="J127" s="4"/>
      <c r="K127" s="4"/>
      <c r="L127" s="3"/>
    </row>
    <row r="128" spans="1:12" ht="15.75" thickBot="1">
      <c r="A128" s="3"/>
      <c r="B128" s="3"/>
      <c r="C128" s="3"/>
      <c r="D128" s="2"/>
      <c r="E128" s="12"/>
      <c r="F128" s="12"/>
      <c r="G128" s="3"/>
      <c r="H128" s="4"/>
      <c r="I128" s="4"/>
      <c r="J128" s="4"/>
      <c r="K128" s="4"/>
      <c r="L128" s="3"/>
    </row>
    <row r="129" spans="1:12" ht="15.75" thickBot="1">
      <c r="A129" s="3"/>
      <c r="B129" s="3"/>
      <c r="C129" s="3"/>
      <c r="D129" s="2"/>
      <c r="E129" s="12"/>
      <c r="F129" s="12"/>
      <c r="G129" s="3"/>
      <c r="H129" s="4"/>
      <c r="I129" s="4"/>
      <c r="J129" s="4"/>
      <c r="K129" s="4"/>
      <c r="L129" s="3"/>
    </row>
    <row r="130" spans="1:12" ht="15.75" thickBot="1">
      <c r="A130" s="3"/>
      <c r="B130" s="3"/>
      <c r="C130" s="3"/>
      <c r="D130" s="2"/>
      <c r="E130" s="12"/>
      <c r="F130" s="12"/>
      <c r="G130" s="3"/>
      <c r="H130" s="4"/>
      <c r="I130" s="4"/>
      <c r="J130" s="4"/>
      <c r="K130" s="4"/>
      <c r="L130" s="3"/>
    </row>
    <row r="131" spans="1:12" ht="15.75" thickBot="1">
      <c r="A131" s="3"/>
      <c r="B131" s="3"/>
      <c r="C131" s="3"/>
      <c r="D131" s="2"/>
      <c r="E131" s="12"/>
      <c r="F131" s="12"/>
      <c r="G131" s="3"/>
      <c r="H131" s="4"/>
      <c r="I131" s="4"/>
      <c r="J131" s="4"/>
      <c r="K131" s="4"/>
      <c r="L131" s="3"/>
    </row>
    <row r="132" spans="1:12" ht="15.75" thickBot="1">
      <c r="A132" s="3"/>
      <c r="B132" s="3"/>
      <c r="C132" s="3"/>
      <c r="D132" s="2"/>
      <c r="E132" s="12"/>
      <c r="F132" s="12"/>
      <c r="G132" s="3"/>
      <c r="H132" s="4"/>
      <c r="I132" s="4"/>
      <c r="J132" s="4"/>
      <c r="K132" s="4"/>
      <c r="L132" s="3"/>
    </row>
    <row r="133" spans="1:12" ht="15.75" thickBot="1">
      <c r="A133" s="3"/>
      <c r="B133" s="3"/>
      <c r="C133" s="3"/>
      <c r="D133" s="2"/>
      <c r="E133" s="12"/>
      <c r="F133" s="12"/>
      <c r="G133" s="3"/>
      <c r="H133" s="4"/>
      <c r="I133" s="4"/>
      <c r="J133" s="4"/>
      <c r="K133" s="4"/>
      <c r="L133" s="3"/>
    </row>
    <row r="134" spans="1:12" ht="15.75" thickBot="1">
      <c r="A134" s="3"/>
      <c r="B134" s="3"/>
      <c r="C134" s="3"/>
      <c r="D134" s="2"/>
      <c r="E134" s="12"/>
      <c r="F134" s="12"/>
      <c r="G134" s="3"/>
      <c r="H134" s="4"/>
      <c r="I134" s="4"/>
      <c r="J134" s="4"/>
      <c r="K134" s="4"/>
      <c r="L134" s="3"/>
    </row>
    <row r="135" spans="1:12" ht="15.75" thickBot="1">
      <c r="A135" s="3"/>
      <c r="B135" s="3"/>
      <c r="C135" s="3"/>
      <c r="D135" s="2"/>
      <c r="E135" s="12"/>
      <c r="F135" s="12"/>
      <c r="G135" s="3"/>
      <c r="H135" s="4"/>
      <c r="I135" s="4"/>
      <c r="J135" s="4"/>
      <c r="K135" s="4"/>
      <c r="L135" s="3"/>
    </row>
    <row r="136" spans="1:12" ht="15.75" thickBot="1">
      <c r="A136" s="3"/>
      <c r="B136" s="3"/>
      <c r="C136" s="3"/>
      <c r="D136" s="2"/>
      <c r="E136" s="12"/>
      <c r="F136" s="12"/>
      <c r="G136" s="3"/>
      <c r="H136" s="4"/>
      <c r="I136" s="4"/>
      <c r="J136" s="4"/>
      <c r="K136" s="4"/>
      <c r="L136" s="3"/>
    </row>
    <row r="137" spans="1:12" ht="15.75" thickBot="1">
      <c r="A137" s="3"/>
      <c r="B137" s="3"/>
      <c r="C137" s="3"/>
      <c r="D137" s="2"/>
      <c r="E137" s="12"/>
      <c r="F137" s="12"/>
      <c r="G137" s="3"/>
      <c r="H137" s="4"/>
      <c r="I137" s="4"/>
      <c r="J137" s="4"/>
      <c r="K137" s="4"/>
      <c r="L137" s="3"/>
    </row>
    <row r="138" spans="1:12" ht="15.75" thickBot="1">
      <c r="A138" s="3"/>
      <c r="B138" s="3"/>
      <c r="C138" s="3"/>
      <c r="D138" s="2"/>
      <c r="E138" s="12"/>
      <c r="F138" s="12"/>
      <c r="G138" s="3"/>
      <c r="H138" s="4"/>
      <c r="I138" s="4"/>
      <c r="J138" s="4"/>
      <c r="K138" s="4"/>
      <c r="L138" s="3"/>
    </row>
    <row r="139" spans="1:12" ht="15.75" thickBot="1">
      <c r="A139" s="3"/>
      <c r="B139" s="3"/>
      <c r="C139" s="3"/>
      <c r="D139" s="2"/>
      <c r="E139" s="12"/>
      <c r="F139" s="12"/>
      <c r="G139" s="3"/>
      <c r="H139" s="4"/>
      <c r="I139" s="4"/>
      <c r="J139" s="4"/>
      <c r="K139" s="4"/>
      <c r="L139" s="3"/>
    </row>
    <row r="140" spans="1:12" ht="15.75" thickBot="1">
      <c r="A140" s="3"/>
      <c r="B140" s="3"/>
      <c r="C140" s="3"/>
      <c r="D140" s="2"/>
      <c r="E140" s="12"/>
      <c r="F140" s="12"/>
      <c r="G140" s="3"/>
      <c r="H140" s="4"/>
      <c r="I140" s="4"/>
      <c r="J140" s="4"/>
      <c r="K140" s="4"/>
      <c r="L140" s="3"/>
    </row>
    <row r="141" spans="1:12" ht="15.75" thickBot="1">
      <c r="A141" s="3"/>
      <c r="B141" s="3"/>
      <c r="C141" s="3"/>
      <c r="D141" s="2"/>
      <c r="E141" s="12"/>
      <c r="F141" s="12"/>
      <c r="G141" s="3"/>
      <c r="H141" s="4"/>
      <c r="I141" s="4"/>
      <c r="J141" s="4"/>
      <c r="K141" s="4"/>
      <c r="L141" s="3"/>
    </row>
    <row r="142" spans="1:12" ht="15.75" thickBot="1">
      <c r="A142" s="3"/>
      <c r="B142" s="3"/>
      <c r="C142" s="3"/>
      <c r="D142" s="2"/>
      <c r="E142" s="12"/>
      <c r="F142" s="12"/>
      <c r="G142" s="3"/>
      <c r="H142" s="4"/>
      <c r="I142" s="4"/>
      <c r="J142" s="4"/>
      <c r="K142" s="4"/>
      <c r="L142" s="3"/>
    </row>
    <row r="143" spans="1:12" ht="15.75" thickBot="1">
      <c r="A143" s="3"/>
      <c r="B143" s="3"/>
      <c r="C143" s="3"/>
      <c r="D143" s="2"/>
      <c r="E143" s="12"/>
      <c r="F143" s="12"/>
      <c r="G143" s="3"/>
      <c r="H143" s="4"/>
      <c r="I143" s="4"/>
      <c r="J143" s="4"/>
      <c r="K143" s="4"/>
      <c r="L143" s="3"/>
    </row>
    <row r="144" spans="1:12" ht="15.75" thickBot="1">
      <c r="A144" s="3"/>
      <c r="B144" s="3"/>
      <c r="C144" s="3"/>
      <c r="D144" s="2"/>
      <c r="E144" s="12"/>
      <c r="F144" s="12"/>
      <c r="G144" s="3"/>
      <c r="H144" s="4"/>
      <c r="I144" s="4"/>
      <c r="J144" s="4"/>
      <c r="K144" s="4"/>
      <c r="L144" s="3"/>
    </row>
    <row r="145" spans="1:12" ht="15.75" thickBot="1">
      <c r="A145" s="3"/>
      <c r="B145" s="3"/>
      <c r="C145" s="3"/>
      <c r="D145" s="2"/>
      <c r="E145" s="12"/>
      <c r="F145" s="12"/>
      <c r="G145" s="3"/>
      <c r="H145" s="4"/>
      <c r="I145" s="4"/>
      <c r="J145" s="4"/>
      <c r="K145" s="4"/>
      <c r="L145" s="3"/>
    </row>
    <row r="146" spans="1:12" ht="15.75" thickBot="1">
      <c r="A146" s="3"/>
      <c r="B146" s="3"/>
      <c r="C146" s="3"/>
      <c r="D146" s="2"/>
      <c r="E146" s="12"/>
      <c r="F146" s="12"/>
      <c r="G146" s="3"/>
      <c r="H146" s="4"/>
      <c r="I146" s="4"/>
      <c r="J146" s="4"/>
      <c r="K146" s="4"/>
      <c r="L146" s="3"/>
    </row>
    <row r="147" spans="1:12" ht="15.75" thickBot="1">
      <c r="A147" s="3"/>
      <c r="B147" s="3"/>
      <c r="C147" s="3"/>
      <c r="D147" s="2"/>
      <c r="E147" s="12"/>
      <c r="F147" s="12"/>
      <c r="G147" s="3"/>
      <c r="H147" s="4"/>
      <c r="I147" s="4"/>
      <c r="J147" s="4"/>
      <c r="K147" s="4"/>
      <c r="L147" s="3"/>
    </row>
    <row r="148" spans="1:12" ht="15.75" thickBot="1">
      <c r="A148" s="3"/>
      <c r="B148" s="3"/>
      <c r="C148" s="3"/>
      <c r="D148" s="2"/>
      <c r="E148" s="12"/>
      <c r="F148" s="12"/>
      <c r="G148" s="3"/>
      <c r="H148" s="4"/>
      <c r="I148" s="4"/>
      <c r="J148" s="4"/>
      <c r="K148" s="4"/>
      <c r="L148" s="3"/>
    </row>
    <row r="149" spans="1:12" ht="15.75" thickBot="1">
      <c r="A149" s="3"/>
      <c r="B149" s="3"/>
      <c r="C149" s="3"/>
      <c r="D149" s="2"/>
      <c r="E149" s="12"/>
      <c r="F149" s="12"/>
      <c r="G149" s="3"/>
      <c r="H149" s="4"/>
      <c r="I149" s="4"/>
      <c r="J149" s="4"/>
      <c r="K149" s="4"/>
      <c r="L149" s="3"/>
    </row>
    <row r="150" spans="1:12" ht="15.75" thickBot="1">
      <c r="A150" s="3"/>
      <c r="B150" s="3"/>
      <c r="C150" s="3"/>
      <c r="D150" s="2"/>
      <c r="E150" s="12"/>
      <c r="F150" s="12"/>
      <c r="G150" s="3"/>
      <c r="H150" s="4"/>
      <c r="I150" s="4"/>
      <c r="J150" s="4"/>
      <c r="K150" s="4"/>
      <c r="L150" s="3"/>
    </row>
    <row r="151" spans="1:12" ht="15.75" thickBot="1">
      <c r="A151" s="3"/>
      <c r="B151" s="3"/>
      <c r="C151" s="3"/>
      <c r="D151" s="2"/>
      <c r="E151" s="12"/>
      <c r="F151" s="12"/>
      <c r="G151" s="3"/>
      <c r="H151" s="4"/>
      <c r="I151" s="4"/>
      <c r="J151" s="4"/>
      <c r="K151" s="4"/>
      <c r="L151" s="3"/>
    </row>
    <row r="152" spans="1:12" ht="15.75" thickBot="1">
      <c r="A152" s="3"/>
      <c r="B152" s="3"/>
      <c r="C152" s="3"/>
      <c r="D152" s="2"/>
      <c r="E152" s="12"/>
      <c r="F152" s="12"/>
      <c r="G152" s="3"/>
      <c r="H152" s="4"/>
      <c r="I152" s="4"/>
      <c r="J152" s="4"/>
      <c r="K152" s="4"/>
      <c r="L152" s="3"/>
    </row>
    <row r="153" spans="1:12" ht="15.75" thickBot="1">
      <c r="A153" s="3"/>
      <c r="B153" s="3"/>
      <c r="C153" s="3"/>
      <c r="D153" s="2"/>
      <c r="E153" s="12"/>
      <c r="F153" s="12"/>
      <c r="G153" s="3"/>
      <c r="H153" s="4"/>
      <c r="I153" s="4"/>
      <c r="J153" s="4"/>
      <c r="K153" s="4"/>
      <c r="L153" s="3"/>
    </row>
    <row r="154" spans="1:12" ht="15.75" thickBot="1">
      <c r="A154" s="3"/>
      <c r="B154" s="3"/>
      <c r="C154" s="3"/>
      <c r="D154" s="2"/>
      <c r="E154" s="12"/>
      <c r="F154" s="12"/>
      <c r="G154" s="3"/>
      <c r="H154" s="4"/>
      <c r="I154" s="4"/>
      <c r="J154" s="4"/>
      <c r="K154" s="4"/>
      <c r="L154" s="3"/>
    </row>
    <row r="155" spans="1:12" ht="15.75" thickBot="1">
      <c r="A155" s="3"/>
      <c r="B155" s="3"/>
      <c r="C155" s="3"/>
      <c r="D155" s="2"/>
      <c r="E155" s="12"/>
      <c r="F155" s="12"/>
      <c r="G155" s="3"/>
      <c r="H155" s="4"/>
      <c r="I155" s="4"/>
      <c r="J155" s="4"/>
      <c r="K155" s="4"/>
      <c r="L155" s="3"/>
    </row>
    <row r="156" spans="1:12" ht="15.75" thickBot="1">
      <c r="A156" s="3"/>
      <c r="B156" s="3"/>
      <c r="C156" s="3"/>
      <c r="D156" s="2"/>
      <c r="E156" s="12"/>
      <c r="F156" s="12"/>
      <c r="G156" s="3"/>
      <c r="H156" s="4"/>
      <c r="I156" s="4"/>
      <c r="J156" s="4"/>
      <c r="K156" s="4"/>
      <c r="L156" s="3"/>
    </row>
    <row r="157" spans="1:12" ht="15.75" thickBot="1">
      <c r="A157" s="3"/>
      <c r="B157" s="3"/>
      <c r="C157" s="3"/>
      <c r="D157" s="2"/>
      <c r="E157" s="12"/>
      <c r="F157" s="12"/>
      <c r="G157" s="3"/>
      <c r="H157" s="4"/>
      <c r="I157" s="4"/>
      <c r="J157" s="4"/>
      <c r="K157" s="4"/>
      <c r="L157" s="3"/>
    </row>
    <row r="158" spans="1:12" ht="15.75" thickBot="1">
      <c r="A158" s="3"/>
      <c r="B158" s="3"/>
      <c r="C158" s="3"/>
      <c r="D158" s="2"/>
      <c r="E158" s="12"/>
      <c r="F158" s="12"/>
      <c r="G158" s="3"/>
      <c r="H158" s="4"/>
      <c r="I158" s="4"/>
      <c r="J158" s="4"/>
      <c r="K158" s="4"/>
      <c r="L158" s="3"/>
    </row>
    <row r="159" spans="1:12" ht="15.75" thickBot="1">
      <c r="A159" s="3"/>
      <c r="B159" s="3"/>
      <c r="C159" s="3"/>
      <c r="D159" s="2"/>
      <c r="E159" s="12"/>
      <c r="F159" s="12"/>
      <c r="G159" s="3"/>
      <c r="H159" s="4"/>
      <c r="I159" s="4"/>
      <c r="J159" s="4"/>
      <c r="K159" s="4"/>
      <c r="L159" s="3"/>
    </row>
    <row r="160" spans="1:12" ht="15.75" thickBot="1">
      <c r="A160" s="3"/>
      <c r="B160" s="3"/>
      <c r="C160" s="3"/>
      <c r="D160" s="2"/>
      <c r="E160" s="12"/>
      <c r="F160" s="12"/>
      <c r="G160" s="3"/>
      <c r="H160" s="4"/>
      <c r="I160" s="4"/>
      <c r="J160" s="4"/>
      <c r="K160" s="4"/>
      <c r="L160" s="3"/>
    </row>
    <row r="161" spans="1:12" ht="15.75" thickBot="1">
      <c r="A161" s="3"/>
      <c r="B161" s="3"/>
      <c r="C161" s="3"/>
      <c r="D161" s="2"/>
      <c r="E161" s="12"/>
      <c r="F161" s="12"/>
      <c r="G161" s="3"/>
      <c r="H161" s="4"/>
      <c r="I161" s="4"/>
      <c r="J161" s="4"/>
      <c r="K161" s="4"/>
      <c r="L161" s="3"/>
    </row>
    <row r="162" spans="1:12" ht="15.75" thickBot="1">
      <c r="A162" s="3"/>
      <c r="B162" s="3"/>
      <c r="C162" s="3"/>
      <c r="D162" s="2"/>
      <c r="E162" s="12"/>
      <c r="F162" s="12"/>
      <c r="G162" s="3"/>
      <c r="H162" s="4"/>
      <c r="I162" s="4"/>
      <c r="J162" s="4"/>
      <c r="K162" s="4"/>
      <c r="L162" s="3"/>
    </row>
    <row r="163" spans="1:12" ht="15.75" thickBot="1">
      <c r="A163" s="3"/>
      <c r="B163" s="3"/>
      <c r="C163" s="3"/>
      <c r="D163" s="2"/>
      <c r="E163" s="12"/>
      <c r="F163" s="12"/>
      <c r="G163" s="3"/>
      <c r="H163" s="4"/>
      <c r="I163" s="4"/>
      <c r="J163" s="4"/>
      <c r="K163" s="4"/>
      <c r="L163" s="3"/>
    </row>
    <row r="164" spans="1:12" ht="15.75" thickBot="1">
      <c r="A164" s="3"/>
      <c r="B164" s="3"/>
      <c r="C164" s="3"/>
      <c r="D164" s="2"/>
      <c r="E164" s="12"/>
      <c r="F164" s="12"/>
      <c r="G164" s="3"/>
      <c r="H164" s="4"/>
      <c r="I164" s="4"/>
      <c r="J164" s="4"/>
      <c r="K164" s="4"/>
      <c r="L164" s="3"/>
    </row>
    <row r="165" spans="1:12" ht="15.75" thickBot="1">
      <c r="A165" s="3"/>
      <c r="B165" s="3"/>
      <c r="C165" s="3"/>
      <c r="D165" s="2"/>
      <c r="E165" s="12"/>
      <c r="F165" s="12"/>
      <c r="G165" s="3"/>
      <c r="H165" s="4"/>
      <c r="I165" s="4"/>
      <c r="J165" s="4"/>
      <c r="K165" s="4"/>
      <c r="L165" s="3"/>
    </row>
    <row r="166" spans="1:12" ht="15.75" thickBot="1">
      <c r="A166" s="3"/>
      <c r="B166" s="3"/>
      <c r="C166" s="3"/>
      <c r="D166" s="2"/>
      <c r="E166" s="12"/>
      <c r="F166" s="12"/>
      <c r="G166" s="3"/>
      <c r="H166" s="4"/>
      <c r="I166" s="4"/>
      <c r="J166" s="4"/>
      <c r="K166" s="4"/>
      <c r="L166" s="3"/>
    </row>
    <row r="167" spans="1:12" ht="15.75" thickBot="1">
      <c r="A167" s="3"/>
      <c r="B167" s="3"/>
      <c r="C167" s="3"/>
      <c r="D167" s="2"/>
      <c r="E167" s="12"/>
      <c r="F167" s="12"/>
      <c r="G167" s="3"/>
      <c r="H167" s="4"/>
      <c r="I167" s="4"/>
      <c r="J167" s="4"/>
      <c r="K167" s="4"/>
      <c r="L167" s="3"/>
    </row>
    <row r="168" spans="1:12" ht="15.75" thickBot="1">
      <c r="A168" s="3"/>
      <c r="B168" s="3"/>
      <c r="C168" s="3"/>
      <c r="D168" s="2"/>
      <c r="E168" s="12"/>
      <c r="F168" s="12"/>
      <c r="G168" s="3"/>
      <c r="H168" s="4"/>
      <c r="I168" s="4"/>
      <c r="J168" s="4"/>
      <c r="K168" s="4"/>
      <c r="L168" s="3"/>
    </row>
    <row r="169" spans="1:12" ht="15.75" thickBot="1">
      <c r="A169" s="3"/>
      <c r="B169" s="3"/>
      <c r="C169" s="3"/>
      <c r="D169" s="2"/>
      <c r="E169" s="12"/>
      <c r="F169" s="12"/>
      <c r="G169" s="3"/>
      <c r="H169" s="4"/>
      <c r="I169" s="4"/>
      <c r="J169" s="4"/>
      <c r="K169" s="4"/>
      <c r="L169" s="3"/>
    </row>
    <row r="170" spans="1:12" ht="15.75" thickBot="1">
      <c r="A170" s="3"/>
      <c r="B170" s="3"/>
      <c r="C170" s="3"/>
      <c r="D170" s="2"/>
      <c r="E170" s="12"/>
      <c r="F170" s="12"/>
      <c r="G170" s="3"/>
      <c r="H170" s="4"/>
      <c r="I170" s="4"/>
      <c r="J170" s="4"/>
      <c r="K170" s="4"/>
      <c r="L170" s="3"/>
    </row>
    <row r="171" spans="1:12" ht="15.75" thickBot="1">
      <c r="A171" s="3"/>
      <c r="B171" s="3"/>
      <c r="C171" s="3"/>
      <c r="D171" s="2"/>
      <c r="E171" s="12"/>
      <c r="F171" s="12"/>
      <c r="G171" s="3"/>
      <c r="H171" s="4"/>
      <c r="I171" s="4"/>
      <c r="J171" s="4"/>
      <c r="K171" s="4"/>
      <c r="L171" s="3"/>
    </row>
    <row r="172" spans="1:12" ht="15.75" thickBot="1">
      <c r="A172" s="3"/>
      <c r="B172" s="3"/>
      <c r="C172" s="3"/>
      <c r="D172" s="2"/>
      <c r="E172" s="12"/>
      <c r="F172" s="12"/>
      <c r="G172" s="3"/>
      <c r="H172" s="4"/>
      <c r="I172" s="4"/>
      <c r="J172" s="4"/>
      <c r="K172" s="4"/>
      <c r="L172" s="3"/>
    </row>
    <row r="173" spans="1:12" ht="15.75" thickBot="1">
      <c r="A173" s="3"/>
      <c r="B173" s="3"/>
      <c r="C173" s="3"/>
      <c r="D173" s="2"/>
      <c r="E173" s="12"/>
      <c r="F173" s="12"/>
      <c r="G173" s="3"/>
      <c r="H173" s="4"/>
      <c r="I173" s="4"/>
      <c r="J173" s="4"/>
      <c r="K173" s="4"/>
      <c r="L173" s="3"/>
    </row>
    <row r="174" spans="1:12" ht="15.75" thickBot="1">
      <c r="A174" s="3"/>
      <c r="B174" s="3"/>
      <c r="C174" s="3"/>
      <c r="D174" s="2"/>
      <c r="E174" s="12"/>
      <c r="F174" s="12"/>
      <c r="G174" s="3"/>
      <c r="H174" s="4"/>
      <c r="I174" s="4"/>
      <c r="J174" s="4"/>
      <c r="K174" s="4"/>
      <c r="L174" s="3"/>
    </row>
    <row r="175" spans="1:12" ht="15.75" thickBot="1">
      <c r="A175" s="3"/>
      <c r="B175" s="3"/>
      <c r="C175" s="3"/>
      <c r="D175" s="2"/>
      <c r="E175" s="12"/>
      <c r="F175" s="12"/>
      <c r="G175" s="3"/>
      <c r="H175" s="4"/>
      <c r="I175" s="4"/>
      <c r="J175" s="4"/>
      <c r="K175" s="4"/>
      <c r="L175" s="3"/>
    </row>
    <row r="176" spans="1:12" ht="15.75" thickBot="1">
      <c r="A176" s="3"/>
      <c r="B176" s="3"/>
      <c r="C176" s="3"/>
      <c r="D176" s="2"/>
      <c r="E176" s="12"/>
      <c r="F176" s="12"/>
      <c r="G176" s="3"/>
      <c r="H176" s="4"/>
      <c r="I176" s="4"/>
      <c r="J176" s="4"/>
      <c r="K176" s="4"/>
      <c r="L176" s="3"/>
    </row>
    <row r="177" spans="1:12" ht="15.75" thickBot="1">
      <c r="A177" s="3"/>
      <c r="B177" s="3"/>
      <c r="C177" s="3"/>
      <c r="D177" s="2"/>
      <c r="E177" s="12"/>
      <c r="F177" s="12"/>
      <c r="G177" s="3"/>
      <c r="H177" s="4"/>
      <c r="I177" s="4"/>
      <c r="J177" s="4"/>
      <c r="K177" s="4"/>
      <c r="L177" s="3"/>
    </row>
    <row r="178" spans="1:12" ht="15.75" thickBot="1">
      <c r="A178" s="3"/>
      <c r="B178" s="3"/>
      <c r="C178" s="3"/>
      <c r="D178" s="2"/>
      <c r="E178" s="12"/>
      <c r="F178" s="12"/>
      <c r="G178" s="3"/>
      <c r="H178" s="4"/>
      <c r="I178" s="4"/>
      <c r="J178" s="4"/>
      <c r="K178" s="4"/>
      <c r="L178" s="3"/>
    </row>
    <row r="179" spans="1:12" ht="15.75" thickBot="1">
      <c r="A179" s="3"/>
      <c r="B179" s="3"/>
      <c r="C179" s="3"/>
      <c r="D179" s="2"/>
      <c r="E179" s="12"/>
      <c r="F179" s="12"/>
      <c r="G179" s="3"/>
      <c r="H179" s="4"/>
      <c r="I179" s="4"/>
      <c r="J179" s="4"/>
      <c r="K179" s="4"/>
      <c r="L179" s="3"/>
    </row>
    <row r="180" spans="1:12" ht="15.75" thickBot="1">
      <c r="A180" s="3"/>
      <c r="B180" s="3"/>
      <c r="C180" s="3"/>
      <c r="D180" s="2"/>
      <c r="E180" s="12"/>
      <c r="F180" s="12"/>
      <c r="G180" s="3"/>
      <c r="H180" s="4"/>
      <c r="I180" s="4"/>
      <c r="J180" s="4"/>
      <c r="K180" s="4"/>
      <c r="L180" s="3"/>
    </row>
    <row r="181" spans="1:12" ht="15.75" thickBot="1">
      <c r="A181" s="3"/>
      <c r="B181" s="3"/>
      <c r="C181" s="3"/>
      <c r="D181" s="2"/>
      <c r="E181" s="12"/>
      <c r="F181" s="12"/>
      <c r="G181" s="3"/>
      <c r="H181" s="4"/>
      <c r="I181" s="4"/>
      <c r="J181" s="4"/>
      <c r="K181" s="4"/>
      <c r="L181" s="3"/>
    </row>
    <row r="182" spans="1:12" ht="15.75" thickBot="1">
      <c r="A182" s="3"/>
      <c r="B182" s="3"/>
      <c r="C182" s="3"/>
      <c r="D182" s="2"/>
      <c r="E182" s="12"/>
      <c r="F182" s="12"/>
      <c r="G182" s="3"/>
      <c r="H182" s="4"/>
      <c r="I182" s="4"/>
      <c r="J182" s="4"/>
      <c r="K182" s="4"/>
      <c r="L182" s="3"/>
    </row>
    <row r="183" spans="1:12" ht="15.75" thickBot="1">
      <c r="A183" s="3"/>
      <c r="B183" s="3"/>
      <c r="C183" s="3"/>
      <c r="D183" s="2"/>
      <c r="E183" s="12"/>
      <c r="F183" s="12"/>
      <c r="G183" s="3"/>
      <c r="H183" s="4"/>
      <c r="I183" s="4"/>
      <c r="J183" s="4"/>
      <c r="K183" s="4"/>
      <c r="L183" s="3"/>
    </row>
    <row r="184" spans="1:12" ht="15.75" thickBot="1">
      <c r="A184" s="3"/>
      <c r="B184" s="3"/>
      <c r="C184" s="3"/>
      <c r="D184" s="2"/>
      <c r="E184" s="12"/>
      <c r="F184" s="12"/>
      <c r="G184" s="3"/>
      <c r="H184" s="4"/>
      <c r="I184" s="4"/>
      <c r="J184" s="4"/>
      <c r="K184" s="4"/>
      <c r="L184" s="3"/>
    </row>
    <row r="185" spans="1:12" ht="15.75" thickBot="1">
      <c r="A185" s="3"/>
      <c r="B185" s="3"/>
      <c r="C185" s="3"/>
      <c r="D185" s="2"/>
      <c r="E185" s="12"/>
      <c r="F185" s="12"/>
      <c r="G185" s="3"/>
      <c r="H185" s="4"/>
      <c r="I185" s="4"/>
      <c r="J185" s="4"/>
      <c r="K185" s="4"/>
      <c r="L185" s="3"/>
    </row>
    <row r="186" spans="1:12" ht="15.75" thickBot="1">
      <c r="A186" s="3"/>
      <c r="B186" s="3"/>
      <c r="C186" s="3"/>
      <c r="D186" s="2"/>
      <c r="E186" s="12"/>
      <c r="F186" s="12"/>
      <c r="G186" s="3"/>
      <c r="H186" s="4"/>
      <c r="I186" s="4"/>
      <c r="J186" s="4"/>
      <c r="K186" s="4"/>
      <c r="L186" s="3"/>
    </row>
    <row r="187" spans="1:12" ht="15.75" thickBot="1">
      <c r="A187" s="3"/>
      <c r="B187" s="3"/>
      <c r="C187" s="3"/>
      <c r="D187" s="2"/>
      <c r="E187" s="12"/>
      <c r="F187" s="12"/>
      <c r="G187" s="3"/>
      <c r="H187" s="4"/>
      <c r="I187" s="4"/>
      <c r="J187" s="4"/>
      <c r="K187" s="4"/>
      <c r="L187" s="3"/>
    </row>
    <row r="188" spans="1:12" ht="15.75" thickBot="1">
      <c r="A188" s="3"/>
      <c r="B188" s="3"/>
      <c r="C188" s="3"/>
      <c r="D188" s="2"/>
      <c r="E188" s="12"/>
      <c r="F188" s="12"/>
      <c r="G188" s="3"/>
      <c r="H188" s="4"/>
      <c r="I188" s="4"/>
      <c r="J188" s="4"/>
      <c r="K188" s="4"/>
      <c r="L188" s="3"/>
    </row>
    <row r="189" spans="1:12" ht="15.75" thickBot="1">
      <c r="A189" s="3"/>
      <c r="B189" s="3"/>
      <c r="C189" s="3"/>
      <c r="D189" s="2"/>
      <c r="E189" s="12"/>
      <c r="F189" s="12"/>
      <c r="G189" s="3"/>
      <c r="H189" s="4"/>
      <c r="I189" s="4"/>
      <c r="J189" s="4"/>
      <c r="K189" s="4"/>
      <c r="L189" s="3"/>
    </row>
    <row r="190" spans="1:12" ht="15.75" thickBot="1">
      <c r="A190" s="3"/>
      <c r="B190" s="3"/>
      <c r="C190" s="3"/>
      <c r="D190" s="2"/>
      <c r="E190" s="12"/>
      <c r="F190" s="12"/>
      <c r="G190" s="3"/>
      <c r="H190" s="4"/>
      <c r="I190" s="4"/>
      <c r="J190" s="4"/>
      <c r="K190" s="4"/>
      <c r="L190" s="3"/>
    </row>
    <row r="191" spans="1:12" ht="15.75" thickBot="1">
      <c r="A191" s="3"/>
      <c r="B191" s="3"/>
      <c r="C191" s="3"/>
      <c r="D191" s="2"/>
      <c r="E191" s="12"/>
      <c r="F191" s="12"/>
      <c r="G191" s="3"/>
      <c r="H191" s="4"/>
      <c r="I191" s="4"/>
      <c r="J191" s="4"/>
      <c r="K191" s="4"/>
      <c r="L191" s="3"/>
    </row>
    <row r="192" spans="1:12" ht="15.75" thickBot="1">
      <c r="A192" s="3"/>
      <c r="B192" s="3"/>
      <c r="C192" s="3"/>
      <c r="D192" s="2"/>
      <c r="E192" s="12"/>
      <c r="F192" s="12"/>
      <c r="G192" s="3"/>
      <c r="H192" s="4"/>
      <c r="I192" s="4"/>
      <c r="J192" s="4"/>
      <c r="K192" s="4"/>
      <c r="L192" s="3"/>
    </row>
    <row r="193" spans="1:12" ht="15.75" thickBot="1">
      <c r="A193" s="3"/>
      <c r="B193" s="3"/>
      <c r="C193" s="3"/>
      <c r="D193" s="2"/>
      <c r="E193" s="12"/>
      <c r="F193" s="12"/>
      <c r="G193" s="3"/>
      <c r="H193" s="4"/>
      <c r="I193" s="4"/>
      <c r="J193" s="4"/>
      <c r="K193" s="4"/>
      <c r="L193" s="3"/>
    </row>
    <row r="194" spans="1:12" ht="15.75" thickBot="1">
      <c r="A194" s="3"/>
      <c r="B194" s="3"/>
      <c r="C194" s="3"/>
      <c r="D194" s="2"/>
      <c r="E194" s="12"/>
      <c r="F194" s="12"/>
      <c r="G194" s="3"/>
      <c r="H194" s="4"/>
      <c r="I194" s="4"/>
      <c r="J194" s="4"/>
      <c r="K194" s="4"/>
      <c r="L194" s="3"/>
    </row>
    <row r="195" spans="1:12" ht="15.75" thickBot="1">
      <c r="A195" s="3"/>
      <c r="B195" s="3"/>
      <c r="C195" s="3"/>
      <c r="D195" s="2"/>
      <c r="E195" s="12"/>
      <c r="F195" s="12"/>
      <c r="G195" s="3"/>
      <c r="H195" s="4"/>
      <c r="I195" s="4"/>
      <c r="J195" s="4"/>
      <c r="K195" s="4"/>
      <c r="L195" s="3"/>
    </row>
    <row r="196" spans="1:12" ht="15.75" thickBot="1">
      <c r="A196" s="3"/>
      <c r="B196" s="3"/>
      <c r="C196" s="3"/>
      <c r="D196" s="2"/>
      <c r="E196" s="12"/>
      <c r="F196" s="12"/>
      <c r="G196" s="3"/>
      <c r="H196" s="4"/>
      <c r="I196" s="4"/>
      <c r="J196" s="4"/>
      <c r="K196" s="4"/>
      <c r="L196" s="3"/>
    </row>
    <row r="197" spans="1:12" ht="15.75" thickBot="1">
      <c r="A197" s="3"/>
      <c r="B197" s="3"/>
      <c r="C197" s="3"/>
      <c r="D197" s="2"/>
      <c r="E197" s="12"/>
      <c r="F197" s="12"/>
      <c r="G197" s="3"/>
      <c r="H197" s="4"/>
      <c r="I197" s="4"/>
      <c r="J197" s="4"/>
      <c r="K197" s="4"/>
      <c r="L197" s="3"/>
    </row>
    <row r="198" spans="1:12" ht="15.75" thickBot="1">
      <c r="A198" s="3"/>
      <c r="B198" s="3"/>
      <c r="C198" s="3"/>
      <c r="D198" s="2"/>
      <c r="E198" s="12"/>
      <c r="F198" s="12"/>
      <c r="G198" s="3"/>
      <c r="H198" s="4"/>
      <c r="I198" s="4"/>
      <c r="J198" s="4"/>
      <c r="K198" s="4"/>
      <c r="L198" s="3"/>
    </row>
    <row r="199" spans="1:12" ht="15.75" thickBot="1">
      <c r="A199" s="3"/>
      <c r="B199" s="3"/>
      <c r="C199" s="3"/>
      <c r="D199" s="2"/>
      <c r="E199" s="12"/>
      <c r="F199" s="12"/>
      <c r="G199" s="3"/>
      <c r="H199" s="4"/>
      <c r="I199" s="4"/>
      <c r="J199" s="4"/>
      <c r="K199" s="4"/>
      <c r="L199" s="3"/>
    </row>
    <row r="200" spans="1:12" ht="15.75" thickBot="1">
      <c r="A200" s="3"/>
      <c r="B200" s="3"/>
      <c r="C200" s="3"/>
      <c r="D200" s="2"/>
      <c r="E200" s="12"/>
      <c r="F200" s="12"/>
      <c r="G200" s="3"/>
      <c r="H200" s="4"/>
      <c r="I200" s="4"/>
      <c r="J200" s="4"/>
      <c r="K200" s="4"/>
      <c r="L200" s="3"/>
    </row>
    <row r="201" spans="1:12" ht="15.75" thickBot="1">
      <c r="A201" s="3"/>
      <c r="B201" s="3"/>
      <c r="C201" s="3"/>
      <c r="D201" s="2"/>
      <c r="E201" s="12"/>
      <c r="F201" s="12"/>
      <c r="G201" s="3"/>
      <c r="H201" s="4"/>
      <c r="I201" s="4"/>
      <c r="J201" s="4"/>
      <c r="K201" s="4"/>
      <c r="L201" s="3"/>
    </row>
    <row r="202" spans="1:12" ht="15.75" thickBot="1">
      <c r="A202" s="3"/>
      <c r="B202" s="3"/>
      <c r="C202" s="3"/>
      <c r="D202" s="2"/>
      <c r="E202" s="12"/>
      <c r="F202" s="12"/>
      <c r="G202" s="3"/>
      <c r="H202" s="4"/>
      <c r="I202" s="4"/>
      <c r="J202" s="4"/>
      <c r="K202" s="4"/>
      <c r="L202" s="3"/>
    </row>
    <row r="203" spans="1:12" ht="15.75" thickBot="1">
      <c r="A203" s="3"/>
      <c r="B203" s="3"/>
      <c r="C203" s="3"/>
      <c r="D203" s="2"/>
      <c r="E203" s="12"/>
      <c r="F203" s="12"/>
      <c r="G203" s="3"/>
      <c r="H203" s="4"/>
      <c r="I203" s="4"/>
      <c r="J203" s="4"/>
      <c r="K203" s="4"/>
      <c r="L203" s="3"/>
    </row>
    <row r="204" spans="1:12" ht="15.75" thickBot="1">
      <c r="A204" s="3"/>
      <c r="B204" s="3"/>
      <c r="C204" s="3"/>
      <c r="D204" s="2"/>
      <c r="E204" s="12"/>
      <c r="F204" s="12"/>
      <c r="G204" s="3"/>
      <c r="H204" s="4"/>
      <c r="I204" s="4"/>
      <c r="J204" s="4"/>
      <c r="K204" s="4"/>
      <c r="L204" s="3"/>
    </row>
    <row r="205" spans="1:12" ht="15.75" thickBot="1">
      <c r="A205" s="3"/>
      <c r="B205" s="3"/>
      <c r="C205" s="3"/>
      <c r="D205" s="2"/>
      <c r="E205" s="12"/>
      <c r="F205" s="12"/>
      <c r="G205" s="3"/>
      <c r="H205" s="4"/>
      <c r="I205" s="4"/>
      <c r="J205" s="4"/>
      <c r="K205" s="4"/>
      <c r="L205" s="3"/>
    </row>
    <row r="206" spans="1:12" ht="15.75" thickBot="1">
      <c r="A206" s="3"/>
      <c r="B206" s="3"/>
      <c r="C206" s="3"/>
      <c r="D206" s="2"/>
      <c r="E206" s="12"/>
      <c r="F206" s="12"/>
      <c r="G206" s="3"/>
      <c r="H206" s="4"/>
      <c r="I206" s="4"/>
      <c r="J206" s="4"/>
      <c r="K206" s="4"/>
      <c r="L206" s="3"/>
    </row>
    <row r="207" spans="1:12" ht="15.75" thickBot="1">
      <c r="A207" s="3"/>
      <c r="B207" s="3"/>
      <c r="C207" s="3"/>
      <c r="D207" s="2"/>
      <c r="E207" s="12"/>
      <c r="F207" s="12"/>
      <c r="G207" s="3"/>
      <c r="H207" s="4"/>
      <c r="I207" s="4"/>
      <c r="J207" s="4"/>
      <c r="K207" s="4"/>
      <c r="L207" s="3"/>
    </row>
    <row r="208" spans="1:12" ht="15.75" thickBot="1">
      <c r="A208" s="3"/>
      <c r="B208" s="3"/>
      <c r="C208" s="3"/>
      <c r="D208" s="2"/>
      <c r="E208" s="12"/>
      <c r="F208" s="12"/>
      <c r="G208" s="3"/>
      <c r="H208" s="4"/>
      <c r="I208" s="4"/>
      <c r="J208" s="4"/>
      <c r="K208" s="4"/>
      <c r="L208" s="3"/>
    </row>
    <row r="209" spans="1:12" ht="15.75" thickBot="1">
      <c r="A209" s="3"/>
      <c r="B209" s="3"/>
      <c r="C209" s="3"/>
      <c r="D209" s="2"/>
      <c r="E209" s="12"/>
      <c r="F209" s="12"/>
      <c r="G209" s="3"/>
      <c r="H209" s="4"/>
      <c r="I209" s="4"/>
      <c r="J209" s="4"/>
      <c r="K209" s="4"/>
      <c r="L209" s="3"/>
    </row>
    <row r="210" spans="1:12" ht="15.75" thickBot="1">
      <c r="A210" s="3"/>
      <c r="B210" s="3"/>
      <c r="C210" s="3"/>
      <c r="D210" s="2"/>
      <c r="E210" s="12"/>
      <c r="F210" s="12"/>
      <c r="G210" s="3"/>
      <c r="H210" s="4"/>
      <c r="I210" s="4"/>
      <c r="J210" s="4"/>
      <c r="K210" s="4"/>
      <c r="L210" s="3"/>
    </row>
    <row r="211" spans="1:12" ht="15.75" thickBot="1">
      <c r="A211" s="3"/>
      <c r="B211" s="3"/>
      <c r="C211" s="3"/>
      <c r="D211" s="2"/>
      <c r="E211" s="12"/>
      <c r="F211" s="12"/>
      <c r="G211" s="3"/>
      <c r="H211" s="4"/>
      <c r="I211" s="4"/>
      <c r="J211" s="4"/>
      <c r="K211" s="4"/>
      <c r="L211" s="3"/>
    </row>
    <row r="212" spans="1:12" ht="15.75" thickBot="1">
      <c r="A212" s="3"/>
      <c r="B212" s="3"/>
      <c r="C212" s="3"/>
      <c r="D212" s="2"/>
      <c r="E212" s="12"/>
      <c r="F212" s="12"/>
      <c r="G212" s="3"/>
      <c r="H212" s="4"/>
      <c r="I212" s="4"/>
      <c r="J212" s="4"/>
      <c r="K212" s="4"/>
      <c r="L212" s="3"/>
    </row>
    <row r="213" spans="1:12" ht="15.75" thickBot="1">
      <c r="A213" s="3"/>
      <c r="B213" s="3"/>
      <c r="C213" s="3"/>
      <c r="D213" s="2"/>
      <c r="E213" s="12"/>
      <c r="F213" s="12"/>
      <c r="G213" s="3"/>
      <c r="H213" s="4"/>
      <c r="I213" s="4"/>
      <c r="J213" s="4"/>
      <c r="K213" s="4"/>
      <c r="L213" s="3"/>
    </row>
    <row r="214" spans="1:12" ht="15.75" thickBot="1">
      <c r="A214" s="3"/>
      <c r="B214" s="3"/>
      <c r="C214" s="3"/>
      <c r="D214" s="2"/>
      <c r="E214" s="12"/>
      <c r="F214" s="12"/>
      <c r="G214" s="3"/>
      <c r="H214" s="4"/>
      <c r="I214" s="4"/>
      <c r="J214" s="4"/>
      <c r="K214" s="4"/>
      <c r="L214" s="3"/>
    </row>
    <row r="215" spans="1:12" ht="15.75" thickBot="1">
      <c r="A215" s="3"/>
      <c r="B215" s="3"/>
      <c r="C215" s="3"/>
      <c r="D215" s="2"/>
      <c r="E215" s="12"/>
      <c r="F215" s="12"/>
      <c r="G215" s="3"/>
      <c r="H215" s="4"/>
      <c r="I215" s="4"/>
      <c r="J215" s="4"/>
      <c r="K215" s="4"/>
      <c r="L215" s="3"/>
    </row>
    <row r="216" spans="1:12" ht="15.75" thickBot="1">
      <c r="A216" s="3"/>
      <c r="B216" s="3"/>
      <c r="C216" s="3"/>
      <c r="D216" s="2"/>
      <c r="E216" s="12"/>
      <c r="F216" s="12"/>
      <c r="G216" s="3"/>
      <c r="H216" s="4"/>
      <c r="I216" s="4"/>
      <c r="J216" s="4"/>
      <c r="K216" s="4"/>
      <c r="L216" s="3"/>
    </row>
    <row r="217" spans="1:12" ht="15.75" thickBot="1">
      <c r="A217" s="3"/>
      <c r="B217" s="3"/>
      <c r="C217" s="3"/>
      <c r="D217" s="2"/>
      <c r="E217" s="12"/>
      <c r="F217" s="12"/>
      <c r="G217" s="3"/>
      <c r="H217" s="4"/>
      <c r="I217" s="4"/>
      <c r="J217" s="4"/>
      <c r="K217" s="4"/>
      <c r="L217" s="3"/>
    </row>
    <row r="218" spans="1:12" ht="15.75" thickBot="1">
      <c r="A218" s="3"/>
      <c r="B218" s="3"/>
      <c r="C218" s="3"/>
      <c r="D218" s="2"/>
      <c r="E218" s="12"/>
      <c r="F218" s="12"/>
      <c r="G218" s="3"/>
      <c r="H218" s="4"/>
      <c r="I218" s="4"/>
      <c r="J218" s="4"/>
      <c r="K218" s="4"/>
      <c r="L218" s="3"/>
    </row>
    <row r="219" spans="1:12" ht="15.75" thickBot="1">
      <c r="A219" s="3"/>
      <c r="B219" s="3"/>
      <c r="C219" s="3"/>
      <c r="D219" s="2"/>
      <c r="E219" s="12"/>
      <c r="F219" s="12"/>
      <c r="G219" s="3"/>
      <c r="H219" s="4"/>
      <c r="I219" s="4"/>
      <c r="J219" s="4"/>
      <c r="K219" s="4"/>
      <c r="L219" s="3"/>
    </row>
    <row r="220" spans="1:12" ht="15.75" thickBot="1">
      <c r="A220" s="3"/>
      <c r="B220" s="3"/>
      <c r="C220" s="3"/>
      <c r="D220" s="2"/>
      <c r="E220" s="12"/>
      <c r="F220" s="12"/>
      <c r="G220" s="3"/>
      <c r="H220" s="4"/>
      <c r="I220" s="4"/>
      <c r="J220" s="4"/>
      <c r="K220" s="4"/>
      <c r="L220" s="3"/>
    </row>
    <row r="221" spans="1:12" ht="15.75" thickBot="1">
      <c r="A221" s="3"/>
      <c r="B221" s="3"/>
      <c r="C221" s="3"/>
      <c r="D221" s="2"/>
      <c r="E221" s="12"/>
      <c r="F221" s="12"/>
      <c r="G221" s="3"/>
      <c r="H221" s="4"/>
      <c r="I221" s="4"/>
      <c r="J221" s="4"/>
      <c r="K221" s="4"/>
      <c r="L221" s="3"/>
    </row>
    <row r="222" spans="1:12" ht="15.75" thickBot="1">
      <c r="A222" s="3"/>
      <c r="B222" s="3"/>
      <c r="C222" s="3"/>
      <c r="D222" s="2"/>
      <c r="E222" s="12"/>
      <c r="F222" s="12"/>
      <c r="G222" s="3"/>
      <c r="H222" s="4"/>
      <c r="I222" s="4"/>
      <c r="J222" s="4"/>
      <c r="K222" s="4"/>
      <c r="L222" s="3"/>
    </row>
    <row r="223" spans="1:12" ht="15.75" thickBot="1">
      <c r="A223" s="3"/>
      <c r="B223" s="3"/>
      <c r="C223" s="3"/>
      <c r="D223" s="2"/>
      <c r="E223" s="12"/>
      <c r="F223" s="12"/>
      <c r="G223" s="3"/>
      <c r="H223" s="4"/>
      <c r="I223" s="4"/>
      <c r="J223" s="4"/>
      <c r="K223" s="4"/>
      <c r="L223" s="3"/>
    </row>
    <row r="224" spans="1:12" ht="15.75" thickBot="1">
      <c r="A224" s="3"/>
      <c r="B224" s="3"/>
      <c r="C224" s="3"/>
      <c r="D224" s="2"/>
      <c r="E224" s="12"/>
      <c r="F224" s="12"/>
      <c r="G224" s="3"/>
      <c r="H224" s="4"/>
      <c r="I224" s="4"/>
      <c r="J224" s="4"/>
      <c r="K224" s="4"/>
      <c r="L224" s="3"/>
    </row>
    <row r="225" spans="1:12" ht="15.75" thickBot="1">
      <c r="A225" s="3"/>
      <c r="B225" s="3"/>
      <c r="C225" s="3"/>
      <c r="D225" s="2"/>
      <c r="E225" s="12"/>
      <c r="F225" s="12"/>
      <c r="G225" s="3"/>
      <c r="H225" s="4"/>
      <c r="I225" s="4"/>
      <c r="J225" s="4"/>
      <c r="K225" s="4"/>
      <c r="L225" s="3"/>
    </row>
    <row r="226" spans="1:12" ht="15.75" thickBot="1">
      <c r="A226" s="3"/>
      <c r="B226" s="3"/>
      <c r="C226" s="3"/>
      <c r="D226" s="2"/>
      <c r="E226" s="12"/>
      <c r="F226" s="12"/>
      <c r="G226" s="3"/>
      <c r="H226" s="4"/>
      <c r="I226" s="4"/>
      <c r="J226" s="4"/>
      <c r="K226" s="4"/>
      <c r="L226" s="3"/>
    </row>
    <row r="227" spans="1:12" ht="15.75" thickBot="1">
      <c r="A227" s="3"/>
      <c r="B227" s="3"/>
      <c r="C227" s="3"/>
      <c r="D227" s="2"/>
      <c r="E227" s="12"/>
      <c r="F227" s="12"/>
      <c r="G227" s="3"/>
      <c r="H227" s="4"/>
      <c r="I227" s="4"/>
      <c r="J227" s="4"/>
      <c r="K227" s="4"/>
      <c r="L227" s="3"/>
    </row>
    <row r="228" spans="1:12" ht="15.75" thickBot="1">
      <c r="A228" s="3"/>
      <c r="B228" s="3"/>
      <c r="C228" s="3"/>
      <c r="D228" s="2"/>
      <c r="E228" s="12"/>
      <c r="F228" s="12"/>
      <c r="G228" s="3"/>
      <c r="H228" s="4"/>
      <c r="I228" s="4"/>
      <c r="J228" s="4"/>
      <c r="K228" s="4"/>
      <c r="L228" s="3"/>
    </row>
    <row r="229" spans="1:12" ht="15.75" thickBot="1">
      <c r="A229" s="3"/>
      <c r="B229" s="3"/>
      <c r="C229" s="3"/>
      <c r="D229" s="2"/>
      <c r="E229" s="12"/>
      <c r="F229" s="12"/>
      <c r="G229" s="3"/>
      <c r="H229" s="4"/>
      <c r="I229" s="4"/>
      <c r="J229" s="4"/>
      <c r="K229" s="4"/>
      <c r="L229" s="3"/>
    </row>
    <row r="230" spans="1:12" ht="15.75" thickBot="1">
      <c r="A230" s="3"/>
      <c r="B230" s="3"/>
      <c r="C230" s="3"/>
      <c r="D230" s="2"/>
      <c r="E230" s="12"/>
      <c r="F230" s="12"/>
      <c r="G230" s="3"/>
      <c r="H230" s="4"/>
      <c r="I230" s="4"/>
      <c r="J230" s="4"/>
      <c r="K230" s="4"/>
      <c r="L230" s="3"/>
    </row>
    <row r="231" spans="1:12" ht="15.75" thickBot="1">
      <c r="A231" s="3"/>
      <c r="B231" s="3"/>
      <c r="C231" s="3"/>
      <c r="D231" s="2"/>
      <c r="E231" s="12"/>
      <c r="F231" s="12"/>
      <c r="G231" s="3"/>
      <c r="H231" s="4"/>
      <c r="I231" s="4"/>
      <c r="J231" s="4"/>
      <c r="K231" s="4"/>
      <c r="L231" s="3"/>
    </row>
    <row r="232" spans="1:12" ht="15.75" thickBot="1">
      <c r="A232" s="3"/>
      <c r="B232" s="3"/>
      <c r="C232" s="3"/>
      <c r="D232" s="2"/>
      <c r="E232" s="12"/>
      <c r="F232" s="12"/>
      <c r="G232" s="3"/>
      <c r="H232" s="4"/>
      <c r="I232" s="4"/>
      <c r="J232" s="4"/>
      <c r="K232" s="4"/>
      <c r="L232" s="3"/>
    </row>
    <row r="233" spans="1:12" ht="15.75" thickBot="1">
      <c r="A233" s="3"/>
      <c r="B233" s="3"/>
      <c r="C233" s="3"/>
      <c r="D233" s="2"/>
      <c r="E233" s="12"/>
      <c r="F233" s="12"/>
      <c r="G233" s="3"/>
      <c r="H233" s="4"/>
      <c r="I233" s="4"/>
      <c r="J233" s="4"/>
      <c r="K233" s="4"/>
      <c r="L233" s="3"/>
    </row>
    <row r="234" spans="1:12" ht="15.75" thickBot="1">
      <c r="A234" s="3"/>
      <c r="B234" s="3"/>
      <c r="C234" s="3"/>
      <c r="D234" s="2"/>
      <c r="E234" s="12"/>
      <c r="F234" s="12"/>
      <c r="G234" s="3"/>
      <c r="H234" s="4"/>
      <c r="I234" s="4"/>
      <c r="J234" s="4"/>
      <c r="K234" s="4"/>
      <c r="L234" s="3"/>
    </row>
    <row r="235" spans="1:12" ht="15.75" thickBot="1">
      <c r="A235" s="3"/>
      <c r="B235" s="3"/>
      <c r="C235" s="3"/>
      <c r="D235" s="2"/>
      <c r="E235" s="12"/>
      <c r="F235" s="12"/>
      <c r="G235" s="3"/>
      <c r="H235" s="4"/>
      <c r="I235" s="4"/>
      <c r="J235" s="4"/>
      <c r="K235" s="4"/>
      <c r="L235" s="3"/>
    </row>
    <row r="236" spans="1:12" ht="15.75" thickBot="1">
      <c r="A236" s="3"/>
      <c r="B236" s="3"/>
      <c r="C236" s="3"/>
      <c r="D236" s="2"/>
      <c r="E236" s="12"/>
      <c r="F236" s="12"/>
      <c r="G236" s="3"/>
      <c r="H236" s="4"/>
      <c r="I236" s="4"/>
      <c r="J236" s="4"/>
      <c r="K236" s="4"/>
      <c r="L236" s="3"/>
    </row>
    <row r="237" spans="1:12" ht="15.75" thickBot="1">
      <c r="A237" s="3"/>
      <c r="B237" s="3"/>
      <c r="C237" s="3"/>
      <c r="D237" s="2"/>
      <c r="E237" s="12"/>
      <c r="F237" s="12"/>
      <c r="G237" s="3"/>
      <c r="H237" s="4"/>
      <c r="I237" s="4"/>
      <c r="J237" s="4"/>
      <c r="K237" s="4"/>
      <c r="L237" s="3"/>
    </row>
    <row r="238" spans="1:12" ht="15.75" thickBot="1">
      <c r="A238" s="3"/>
      <c r="B238" s="3"/>
      <c r="C238" s="3"/>
      <c r="D238" s="2"/>
      <c r="E238" s="12"/>
      <c r="F238" s="12"/>
      <c r="G238" s="3"/>
      <c r="H238" s="4"/>
      <c r="I238" s="4"/>
      <c r="J238" s="4"/>
      <c r="K238" s="4"/>
      <c r="L238" s="3"/>
    </row>
    <row r="239" spans="1:12" ht="15.75" thickBot="1">
      <c r="A239" s="3"/>
      <c r="B239" s="3"/>
      <c r="C239" s="3"/>
      <c r="D239" s="2"/>
      <c r="E239" s="12"/>
      <c r="F239" s="12"/>
      <c r="G239" s="3"/>
      <c r="H239" s="4"/>
      <c r="I239" s="4"/>
      <c r="J239" s="4"/>
      <c r="K239" s="4"/>
      <c r="L239" s="3"/>
    </row>
    <row r="240" spans="1:12" ht="15.75" thickBot="1">
      <c r="A240" s="3"/>
      <c r="B240" s="3"/>
      <c r="C240" s="3"/>
      <c r="D240" s="2"/>
      <c r="E240" s="12"/>
      <c r="F240" s="12"/>
      <c r="G240" s="3"/>
      <c r="H240" s="4"/>
      <c r="I240" s="4"/>
      <c r="J240" s="4"/>
      <c r="K240" s="4"/>
      <c r="L240" s="3"/>
    </row>
    <row r="241" spans="1:12" ht="15.75" thickBot="1">
      <c r="A241" s="3"/>
      <c r="B241" s="3"/>
      <c r="C241" s="3"/>
      <c r="D241" s="2"/>
      <c r="E241" s="12"/>
      <c r="F241" s="12"/>
      <c r="G241" s="3"/>
      <c r="H241" s="4"/>
      <c r="I241" s="4"/>
      <c r="J241" s="4"/>
      <c r="K241" s="4"/>
      <c r="L241" s="3"/>
    </row>
    <row r="242" spans="1:12" ht="15.75" thickBot="1">
      <c r="A242" s="3"/>
      <c r="B242" s="3"/>
      <c r="C242" s="3"/>
      <c r="D242" s="2"/>
      <c r="E242" s="12"/>
      <c r="F242" s="12"/>
      <c r="G242" s="3"/>
      <c r="H242" s="4"/>
      <c r="I242" s="4"/>
      <c r="J242" s="4"/>
      <c r="K242" s="4"/>
      <c r="L242" s="3"/>
    </row>
    <row r="243" spans="1:12" ht="15.75" thickBot="1">
      <c r="A243" s="3"/>
      <c r="B243" s="3"/>
      <c r="C243" s="3"/>
      <c r="D243" s="2"/>
      <c r="E243" s="12"/>
      <c r="F243" s="12"/>
      <c r="G243" s="3"/>
      <c r="H243" s="4"/>
      <c r="I243" s="4"/>
      <c r="J243" s="4"/>
      <c r="K243" s="4"/>
      <c r="L243" s="3"/>
    </row>
    <row r="244" spans="1:12" ht="15.75" thickBot="1">
      <c r="A244" s="3"/>
      <c r="B244" s="3"/>
      <c r="C244" s="3"/>
      <c r="D244" s="2"/>
      <c r="E244" s="12"/>
      <c r="F244" s="12"/>
      <c r="G244" s="3"/>
      <c r="H244" s="4"/>
      <c r="I244" s="4"/>
      <c r="J244" s="4"/>
      <c r="K244" s="4"/>
      <c r="L244" s="3"/>
    </row>
    <row r="245" spans="1:12" ht="15.75" thickBot="1">
      <c r="A245" s="3"/>
      <c r="B245" s="3"/>
      <c r="C245" s="3"/>
      <c r="D245" s="2"/>
      <c r="E245" s="12"/>
      <c r="F245" s="12"/>
      <c r="G245" s="3"/>
      <c r="H245" s="4"/>
      <c r="I245" s="4"/>
      <c r="J245" s="4"/>
      <c r="K245" s="4"/>
      <c r="L245" s="3"/>
    </row>
    <row r="246" spans="1:12" ht="15.75" thickBot="1">
      <c r="A246" s="3"/>
      <c r="B246" s="3"/>
      <c r="C246" s="3"/>
      <c r="D246" s="2"/>
      <c r="E246" s="12"/>
      <c r="F246" s="12"/>
      <c r="G246" s="3"/>
      <c r="H246" s="4"/>
      <c r="I246" s="4"/>
      <c r="J246" s="4"/>
      <c r="K246" s="4"/>
      <c r="L246" s="3"/>
    </row>
    <row r="247" spans="1:12" ht="15.75" thickBot="1">
      <c r="A247" s="3"/>
      <c r="B247" s="3"/>
      <c r="C247" s="3"/>
      <c r="D247" s="2"/>
      <c r="E247" s="12"/>
      <c r="F247" s="12"/>
      <c r="G247" s="3"/>
      <c r="H247" s="4"/>
      <c r="I247" s="4"/>
      <c r="J247" s="4"/>
      <c r="K247" s="4"/>
      <c r="L247" s="3"/>
    </row>
    <row r="248" spans="1:12" ht="15.75" thickBot="1">
      <c r="A248" s="3"/>
      <c r="B248" s="3"/>
      <c r="C248" s="3"/>
      <c r="D248" s="2"/>
      <c r="E248" s="12"/>
      <c r="F248" s="12"/>
      <c r="G248" s="3"/>
      <c r="H248" s="4"/>
      <c r="I248" s="4"/>
      <c r="J248" s="4"/>
      <c r="K248" s="4"/>
      <c r="L248" s="3"/>
    </row>
    <row r="249" spans="1:12" ht="15.75" thickBot="1">
      <c r="A249" s="3"/>
      <c r="B249" s="3"/>
      <c r="C249" s="3"/>
      <c r="D249" s="2"/>
      <c r="E249" s="12"/>
      <c r="F249" s="12"/>
      <c r="G249" s="3"/>
      <c r="H249" s="4"/>
      <c r="I249" s="4"/>
      <c r="J249" s="4"/>
      <c r="K249" s="4"/>
      <c r="L249" s="3"/>
    </row>
    <row r="250" spans="1:12" ht="15.75" thickBot="1">
      <c r="A250" s="3"/>
      <c r="B250" s="3"/>
      <c r="C250" s="3"/>
      <c r="D250" s="2"/>
      <c r="E250" s="12"/>
      <c r="F250" s="12"/>
      <c r="G250" s="3"/>
      <c r="H250" s="4"/>
      <c r="I250" s="4"/>
      <c r="J250" s="4"/>
      <c r="K250" s="4"/>
      <c r="L250" s="3"/>
    </row>
    <row r="251" spans="1:12" ht="15.75" thickBot="1">
      <c r="A251" s="3"/>
      <c r="B251" s="3"/>
      <c r="C251" s="3"/>
      <c r="D251" s="2"/>
      <c r="E251" s="12"/>
      <c r="F251" s="12"/>
      <c r="G251" s="3"/>
      <c r="H251" s="4"/>
      <c r="I251" s="4"/>
      <c r="J251" s="4"/>
      <c r="K251" s="4"/>
      <c r="L251" s="3"/>
    </row>
    <row r="252" spans="1:12" ht="15.75" thickBot="1">
      <c r="A252" s="3"/>
      <c r="B252" s="3"/>
      <c r="C252" s="3"/>
      <c r="D252" s="2"/>
      <c r="E252" s="12"/>
      <c r="F252" s="12"/>
      <c r="G252" s="3"/>
      <c r="H252" s="4"/>
      <c r="I252" s="4"/>
      <c r="J252" s="4"/>
      <c r="K252" s="4"/>
      <c r="L252" s="3"/>
    </row>
    <row r="253" spans="1:12" ht="15.75" thickBot="1">
      <c r="A253" s="3"/>
      <c r="B253" s="3"/>
      <c r="C253" s="3"/>
      <c r="D253" s="2"/>
      <c r="E253" s="12"/>
      <c r="F253" s="12"/>
      <c r="G253" s="3"/>
      <c r="H253" s="4"/>
      <c r="I253" s="4"/>
      <c r="J253" s="4"/>
      <c r="K253" s="4"/>
      <c r="L253" s="3"/>
    </row>
    <row r="254" spans="1:12" ht="15.75" thickBot="1">
      <c r="A254" s="3"/>
      <c r="B254" s="3"/>
      <c r="C254" s="3"/>
      <c r="D254" s="2"/>
      <c r="E254" s="12"/>
      <c r="F254" s="12"/>
      <c r="G254" s="3"/>
      <c r="H254" s="4"/>
      <c r="I254" s="4"/>
      <c r="J254" s="4"/>
      <c r="K254" s="4"/>
      <c r="L254" s="3"/>
    </row>
    <row r="255" spans="1:12" ht="15.75" thickBot="1">
      <c r="A255" s="3"/>
      <c r="B255" s="3"/>
      <c r="C255" s="3"/>
      <c r="D255" s="2"/>
      <c r="E255" s="12"/>
      <c r="F255" s="12"/>
      <c r="G255" s="3"/>
      <c r="H255" s="4"/>
      <c r="I255" s="4"/>
      <c r="J255" s="4"/>
      <c r="K255" s="4"/>
      <c r="L255" s="3"/>
    </row>
    <row r="256" spans="1:12" ht="15.75" thickBot="1">
      <c r="A256" s="3"/>
      <c r="B256" s="3"/>
      <c r="C256" s="3"/>
      <c r="D256" s="2"/>
      <c r="E256" s="12"/>
      <c r="F256" s="12"/>
      <c r="G256" s="3"/>
      <c r="H256" s="4"/>
      <c r="I256" s="4"/>
      <c r="J256" s="4"/>
      <c r="K256" s="4"/>
      <c r="L256" s="3"/>
    </row>
    <row r="257" spans="1:12" ht="15.75" thickBot="1">
      <c r="A257" s="3"/>
      <c r="B257" s="3"/>
      <c r="C257" s="3"/>
      <c r="D257" s="2"/>
      <c r="E257" s="12"/>
      <c r="F257" s="12"/>
      <c r="G257" s="3"/>
      <c r="H257" s="4"/>
      <c r="I257" s="4"/>
      <c r="J257" s="4"/>
      <c r="K257" s="4"/>
      <c r="L257" s="3"/>
    </row>
    <row r="258" spans="1:12" ht="15.75" thickBot="1">
      <c r="A258" s="3"/>
      <c r="B258" s="3"/>
      <c r="C258" s="3"/>
      <c r="D258" s="2"/>
      <c r="E258" s="12"/>
      <c r="F258" s="12"/>
      <c r="G258" s="3"/>
      <c r="H258" s="4"/>
      <c r="I258" s="4"/>
      <c r="J258" s="4"/>
      <c r="K258" s="4"/>
      <c r="L258" s="3"/>
    </row>
    <row r="259" spans="1:12" ht="15.75" thickBot="1">
      <c r="A259" s="3"/>
      <c r="B259" s="3"/>
      <c r="C259" s="3"/>
      <c r="D259" s="2"/>
      <c r="E259" s="12"/>
      <c r="F259" s="12"/>
      <c r="G259" s="3"/>
      <c r="H259" s="4"/>
      <c r="I259" s="4"/>
      <c r="J259" s="4"/>
      <c r="K259" s="4"/>
      <c r="L259" s="3"/>
    </row>
    <row r="260" spans="1:12" ht="15.75" thickBot="1">
      <c r="A260" s="3"/>
      <c r="B260" s="3"/>
      <c r="C260" s="3"/>
      <c r="D260" s="2"/>
      <c r="E260" s="12"/>
      <c r="F260" s="12"/>
      <c r="G260" s="3"/>
      <c r="H260" s="4"/>
      <c r="I260" s="4"/>
      <c r="J260" s="4"/>
      <c r="K260" s="4"/>
      <c r="L260" s="3"/>
    </row>
    <row r="261" spans="1:12" ht="15.75" thickBot="1">
      <c r="A261" s="3"/>
      <c r="B261" s="3"/>
      <c r="C261" s="3"/>
      <c r="D261" s="2"/>
      <c r="E261" s="12"/>
      <c r="F261" s="12"/>
      <c r="G261" s="3"/>
      <c r="H261" s="4"/>
      <c r="I261" s="4"/>
      <c r="J261" s="4"/>
      <c r="K261" s="4"/>
      <c r="L261" s="3"/>
    </row>
    <row r="262" spans="1:12" ht="15.75" thickBot="1">
      <c r="A262" s="3"/>
      <c r="B262" s="3"/>
      <c r="C262" s="3"/>
      <c r="D262" s="2"/>
      <c r="E262" s="12"/>
      <c r="F262" s="12"/>
      <c r="G262" s="3"/>
      <c r="H262" s="4"/>
      <c r="I262" s="4"/>
      <c r="J262" s="4"/>
      <c r="K262" s="4"/>
      <c r="L262" s="3"/>
    </row>
    <row r="263" spans="1:12" ht="15.75" thickBot="1">
      <c r="A263" s="3"/>
      <c r="B263" s="3"/>
      <c r="C263" s="3"/>
      <c r="D263" s="2"/>
      <c r="E263" s="12"/>
      <c r="F263" s="12"/>
      <c r="G263" s="3"/>
      <c r="H263" s="4"/>
      <c r="I263" s="4"/>
      <c r="J263" s="4"/>
      <c r="K263" s="4"/>
      <c r="L263" s="3"/>
    </row>
    <row r="264" spans="1:12" ht="15.75" thickBot="1">
      <c r="A264" s="3"/>
      <c r="B264" s="3"/>
      <c r="C264" s="3"/>
      <c r="D264" s="2"/>
      <c r="E264" s="12"/>
      <c r="F264" s="12"/>
      <c r="G264" s="3"/>
      <c r="H264" s="4"/>
      <c r="I264" s="4"/>
      <c r="J264" s="4"/>
      <c r="K264" s="4"/>
      <c r="L264" s="3"/>
    </row>
    <row r="265" spans="1:12" ht="15.75" thickBot="1">
      <c r="A265" s="3"/>
      <c r="B265" s="3"/>
      <c r="C265" s="3"/>
      <c r="D265" s="2"/>
      <c r="E265" s="12"/>
      <c r="F265" s="12"/>
      <c r="G265" s="3"/>
      <c r="H265" s="4"/>
      <c r="I265" s="4"/>
      <c r="J265" s="4"/>
      <c r="K265" s="4"/>
      <c r="L265" s="3"/>
    </row>
    <row r="266" spans="1:12" ht="15.75" thickBot="1">
      <c r="A266" s="3"/>
      <c r="B266" s="3"/>
      <c r="C266" s="3"/>
      <c r="D266" s="2"/>
      <c r="E266" s="12"/>
      <c r="F266" s="12"/>
      <c r="G266" s="3"/>
      <c r="H266" s="4"/>
      <c r="I266" s="4"/>
      <c r="J266" s="4"/>
      <c r="K266" s="4"/>
      <c r="L266" s="3"/>
    </row>
    <row r="267" spans="1:12" ht="15.75" thickBot="1">
      <c r="A267" s="3"/>
      <c r="B267" s="3"/>
      <c r="C267" s="3"/>
      <c r="D267" s="2"/>
      <c r="E267" s="12"/>
      <c r="F267" s="12"/>
      <c r="G267" s="3"/>
      <c r="H267" s="4"/>
      <c r="I267" s="4"/>
      <c r="J267" s="4"/>
      <c r="K267" s="4"/>
      <c r="L267" s="3"/>
    </row>
    <row r="268" spans="1:12" ht="15.75" thickBot="1">
      <c r="A268" s="3"/>
      <c r="B268" s="3"/>
      <c r="C268" s="3"/>
      <c r="D268" s="2"/>
      <c r="E268" s="12"/>
      <c r="F268" s="12"/>
      <c r="G268" s="3"/>
      <c r="H268" s="4"/>
      <c r="I268" s="4"/>
      <c r="J268" s="4"/>
      <c r="K268" s="4"/>
      <c r="L268" s="3"/>
    </row>
    <row r="269" spans="1:12" ht="15.75" thickBot="1">
      <c r="A269" s="3"/>
      <c r="B269" s="3"/>
      <c r="C269" s="3"/>
      <c r="D269" s="2"/>
      <c r="E269" s="12"/>
      <c r="F269" s="12"/>
      <c r="G269" s="3"/>
      <c r="H269" s="4"/>
      <c r="I269" s="4"/>
      <c r="J269" s="4"/>
      <c r="K269" s="4"/>
      <c r="L269" s="3"/>
    </row>
    <row r="270" spans="1:12" ht="15.75" thickBot="1">
      <c r="A270" s="3"/>
      <c r="B270" s="3"/>
      <c r="C270" s="3"/>
      <c r="D270" s="2"/>
      <c r="E270" s="12"/>
      <c r="F270" s="12"/>
      <c r="G270" s="3"/>
      <c r="H270" s="4"/>
      <c r="I270" s="4"/>
      <c r="J270" s="4"/>
      <c r="K270" s="4"/>
      <c r="L270" s="3"/>
    </row>
    <row r="271" spans="1:12" ht="15.75" thickBot="1">
      <c r="A271" s="3"/>
      <c r="B271" s="3"/>
      <c r="C271" s="3"/>
      <c r="D271" s="2"/>
      <c r="E271" s="12"/>
      <c r="F271" s="12"/>
      <c r="G271" s="3"/>
      <c r="H271" s="4"/>
      <c r="I271" s="4"/>
      <c r="J271" s="4"/>
      <c r="K271" s="4"/>
      <c r="L271" s="3"/>
    </row>
    <row r="272" spans="1:12" ht="15.75" thickBot="1">
      <c r="A272" s="3"/>
      <c r="B272" s="3"/>
      <c r="C272" s="3"/>
      <c r="D272" s="2"/>
      <c r="E272" s="12"/>
      <c r="F272" s="12"/>
      <c r="G272" s="3"/>
      <c r="H272" s="4"/>
      <c r="I272" s="4"/>
      <c r="J272" s="4"/>
      <c r="K272" s="4"/>
      <c r="L272" s="3"/>
    </row>
    <row r="273" spans="1:12" ht="15.75" thickBot="1">
      <c r="A273" s="3"/>
      <c r="B273" s="3"/>
      <c r="C273" s="3"/>
      <c r="D273" s="2"/>
      <c r="E273" s="12"/>
      <c r="F273" s="12"/>
      <c r="G273" s="3"/>
      <c r="H273" s="4"/>
      <c r="I273" s="4"/>
      <c r="J273" s="4"/>
      <c r="K273" s="4"/>
      <c r="L273" s="3"/>
    </row>
    <row r="274" spans="1:12" ht="15.75" thickBot="1">
      <c r="A274" s="3"/>
      <c r="B274" s="3"/>
      <c r="C274" s="3"/>
      <c r="D274" s="2"/>
      <c r="E274" s="12"/>
      <c r="F274" s="12"/>
      <c r="G274" s="3"/>
      <c r="H274" s="4"/>
      <c r="I274" s="4"/>
      <c r="J274" s="4"/>
      <c r="K274" s="4"/>
      <c r="L274" s="3"/>
    </row>
    <row r="275" spans="1:12" ht="15.75" thickBot="1">
      <c r="A275" s="3"/>
      <c r="B275" s="3"/>
      <c r="C275" s="3"/>
      <c r="D275" s="2"/>
      <c r="E275" s="12"/>
      <c r="F275" s="12"/>
      <c r="G275" s="3"/>
      <c r="H275" s="4"/>
      <c r="I275" s="4"/>
      <c r="J275" s="4"/>
      <c r="K275" s="4"/>
      <c r="L275" s="3"/>
    </row>
    <row r="276" spans="1:12" ht="15.75" thickBot="1">
      <c r="A276" s="3"/>
      <c r="B276" s="3"/>
      <c r="C276" s="3"/>
      <c r="D276" s="2"/>
      <c r="E276" s="12"/>
      <c r="F276" s="12"/>
      <c r="G276" s="3"/>
      <c r="H276" s="4"/>
      <c r="I276" s="4"/>
      <c r="J276" s="4"/>
      <c r="K276" s="4"/>
      <c r="L276" s="3"/>
    </row>
    <row r="277" spans="1:12" ht="15.75" thickBot="1">
      <c r="A277" s="3"/>
      <c r="B277" s="3"/>
      <c r="C277" s="3"/>
      <c r="D277" s="2"/>
      <c r="E277" s="12"/>
      <c r="F277" s="12"/>
      <c r="G277" s="3"/>
      <c r="H277" s="4"/>
      <c r="I277" s="4"/>
      <c r="J277" s="4"/>
      <c r="K277" s="4"/>
      <c r="L277" s="3"/>
    </row>
    <row r="278" spans="1:12" ht="15.75" thickBot="1">
      <c r="A278" s="3"/>
      <c r="B278" s="3"/>
      <c r="C278" s="3"/>
      <c r="D278" s="2"/>
      <c r="E278" s="12"/>
      <c r="F278" s="12"/>
      <c r="G278" s="3"/>
      <c r="H278" s="4"/>
      <c r="I278" s="4"/>
      <c r="J278" s="4"/>
      <c r="K278" s="4"/>
      <c r="L278" s="3"/>
    </row>
    <row r="279" spans="1:12" ht="15.75" thickBot="1">
      <c r="A279" s="3"/>
      <c r="B279" s="3"/>
      <c r="C279" s="3"/>
      <c r="D279" s="2"/>
      <c r="E279" s="12"/>
      <c r="F279" s="12"/>
      <c r="G279" s="3"/>
      <c r="H279" s="4"/>
      <c r="I279" s="4"/>
      <c r="J279" s="4"/>
      <c r="K279" s="4"/>
      <c r="L279" s="3"/>
    </row>
    <row r="280" spans="1:12" ht="15.75" thickBot="1">
      <c r="A280" s="3"/>
      <c r="B280" s="3"/>
      <c r="C280" s="3"/>
      <c r="D280" s="2"/>
      <c r="E280" s="12"/>
      <c r="F280" s="12"/>
      <c r="G280" s="3"/>
      <c r="H280" s="4"/>
      <c r="I280" s="4"/>
      <c r="J280" s="4"/>
      <c r="K280" s="4"/>
      <c r="L280" s="3"/>
    </row>
    <row r="281" spans="1:12" ht="15.75" thickBot="1">
      <c r="A281" s="3"/>
      <c r="B281" s="3"/>
      <c r="C281" s="3"/>
      <c r="D281" s="2"/>
      <c r="E281" s="12"/>
      <c r="F281" s="12"/>
      <c r="G281" s="3"/>
      <c r="H281" s="4"/>
      <c r="I281" s="4"/>
      <c r="J281" s="4"/>
      <c r="K281" s="4"/>
      <c r="L281" s="3"/>
    </row>
    <row r="282" spans="1:12" ht="15.75" thickBot="1">
      <c r="A282" s="3"/>
      <c r="B282" s="3"/>
      <c r="C282" s="3"/>
      <c r="D282" s="2"/>
      <c r="E282" s="12"/>
      <c r="F282" s="12"/>
      <c r="G282" s="3"/>
      <c r="H282" s="4"/>
      <c r="I282" s="4"/>
      <c r="J282" s="4"/>
      <c r="K282" s="4"/>
      <c r="L282" s="3"/>
    </row>
    <row r="283" spans="1:12" ht="15.75" thickBot="1">
      <c r="A283" s="3"/>
      <c r="B283" s="3"/>
      <c r="C283" s="3"/>
      <c r="D283" s="2"/>
      <c r="E283" s="12"/>
      <c r="F283" s="12"/>
      <c r="G283" s="3"/>
      <c r="H283" s="4"/>
      <c r="I283" s="4"/>
      <c r="J283" s="4"/>
      <c r="K283" s="4"/>
      <c r="L283" s="3"/>
    </row>
    <row r="284" spans="1:12" ht="15.75" thickBot="1">
      <c r="A284" s="3"/>
      <c r="B284" s="3"/>
      <c r="C284" s="3"/>
      <c r="D284" s="2"/>
      <c r="E284" s="12"/>
      <c r="F284" s="12"/>
      <c r="G284" s="3"/>
      <c r="H284" s="4"/>
      <c r="I284" s="4"/>
      <c r="J284" s="4"/>
      <c r="K284" s="4"/>
      <c r="L284" s="3"/>
    </row>
    <row r="285" spans="1:12" ht="15.75" thickBot="1">
      <c r="A285" s="3"/>
      <c r="B285" s="3"/>
      <c r="C285" s="3"/>
      <c r="D285" s="2"/>
      <c r="E285" s="12"/>
      <c r="F285" s="12"/>
      <c r="G285" s="3"/>
      <c r="H285" s="4"/>
      <c r="I285" s="4"/>
      <c r="J285" s="4"/>
      <c r="K285" s="4"/>
      <c r="L285" s="3"/>
    </row>
    <row r="286" spans="1:12" ht="15.75" thickBot="1">
      <c r="A286" s="3"/>
      <c r="B286" s="3"/>
      <c r="C286" s="3"/>
      <c r="D286" s="2"/>
      <c r="E286" s="12"/>
      <c r="F286" s="12"/>
      <c r="G286" s="3"/>
      <c r="H286" s="4"/>
      <c r="I286" s="4"/>
      <c r="J286" s="4"/>
      <c r="K286" s="4"/>
      <c r="L286" s="3"/>
    </row>
    <row r="287" spans="1:12" ht="15.75" thickBot="1">
      <c r="A287" s="3"/>
      <c r="B287" s="3"/>
      <c r="C287" s="3"/>
      <c r="D287" s="2"/>
      <c r="E287" s="12"/>
      <c r="F287" s="12"/>
      <c r="G287" s="3"/>
      <c r="H287" s="4"/>
      <c r="I287" s="4"/>
      <c r="J287" s="4"/>
      <c r="K287" s="4"/>
      <c r="L287" s="3"/>
    </row>
    <row r="288" spans="1:12" ht="15.75" thickBot="1">
      <c r="A288" s="3"/>
      <c r="B288" s="3"/>
      <c r="C288" s="3"/>
      <c r="D288" s="2"/>
      <c r="E288" s="12"/>
      <c r="F288" s="12"/>
      <c r="G288" s="3"/>
      <c r="H288" s="4"/>
      <c r="I288" s="4"/>
      <c r="J288" s="4"/>
      <c r="K288" s="4"/>
      <c r="L288" s="3"/>
    </row>
    <row r="289" spans="1:12" ht="15.75" thickBot="1">
      <c r="A289" s="3"/>
      <c r="B289" s="3"/>
      <c r="C289" s="3"/>
      <c r="D289" s="2"/>
      <c r="E289" s="12"/>
      <c r="F289" s="12"/>
      <c r="G289" s="3"/>
      <c r="H289" s="4"/>
      <c r="I289" s="4"/>
      <c r="J289" s="4"/>
      <c r="K289" s="4"/>
      <c r="L289" s="3"/>
    </row>
    <row r="290" spans="1:12" ht="15.75" thickBot="1">
      <c r="A290" s="3"/>
      <c r="B290" s="3"/>
      <c r="C290" s="3"/>
      <c r="D290" s="2"/>
      <c r="E290" s="12"/>
      <c r="F290" s="12"/>
      <c r="G290" s="3"/>
      <c r="H290" s="4"/>
      <c r="I290" s="4"/>
      <c r="J290" s="4"/>
      <c r="K290" s="4"/>
      <c r="L290" s="3"/>
    </row>
    <row r="291" spans="1:12" ht="15.75" thickBot="1">
      <c r="A291" s="3"/>
      <c r="B291" s="3"/>
      <c r="C291" s="3"/>
      <c r="D291" s="2"/>
      <c r="E291" s="12"/>
      <c r="F291" s="12"/>
      <c r="G291" s="3"/>
      <c r="H291" s="4"/>
      <c r="I291" s="4"/>
      <c r="J291" s="4"/>
      <c r="K291" s="4"/>
      <c r="L291" s="3"/>
    </row>
    <row r="292" spans="1:12" ht="15.75" thickBot="1">
      <c r="A292" s="3"/>
      <c r="B292" s="3"/>
      <c r="C292" s="3"/>
      <c r="D292" s="2"/>
      <c r="E292" s="12"/>
      <c r="F292" s="12"/>
      <c r="G292" s="3"/>
      <c r="H292" s="4"/>
      <c r="I292" s="4"/>
      <c r="J292" s="4"/>
      <c r="K292" s="4"/>
      <c r="L292" s="3"/>
    </row>
    <row r="293" spans="1:12" ht="15.75" thickBot="1">
      <c r="A293" s="3"/>
      <c r="B293" s="3"/>
      <c r="C293" s="3"/>
      <c r="D293" s="2"/>
      <c r="E293" s="12"/>
      <c r="F293" s="12"/>
      <c r="G293" s="3"/>
      <c r="H293" s="4"/>
      <c r="I293" s="4"/>
      <c r="J293" s="4"/>
      <c r="K293" s="4"/>
      <c r="L293" s="3"/>
    </row>
    <row r="294" spans="1:12" ht="15.75" thickBot="1">
      <c r="A294" s="3"/>
      <c r="B294" s="3"/>
      <c r="C294" s="3"/>
      <c r="D294" s="2"/>
      <c r="E294" s="12"/>
      <c r="F294" s="12"/>
      <c r="G294" s="3"/>
      <c r="H294" s="4"/>
      <c r="I294" s="4"/>
      <c r="J294" s="4"/>
      <c r="K294" s="4"/>
      <c r="L294" s="3"/>
    </row>
    <row r="295" spans="1:12" ht="15.75" thickBot="1">
      <c r="A295" s="3"/>
      <c r="B295" s="3"/>
      <c r="C295" s="3"/>
      <c r="D295" s="2"/>
      <c r="E295" s="12"/>
      <c r="F295" s="12"/>
      <c r="G295" s="3"/>
      <c r="H295" s="4"/>
      <c r="I295" s="4"/>
      <c r="J295" s="4"/>
      <c r="K295" s="4"/>
      <c r="L295" s="3"/>
    </row>
    <row r="296" spans="1:12" ht="15.75" thickBot="1">
      <c r="A296" s="3"/>
      <c r="B296" s="3"/>
      <c r="C296" s="3"/>
      <c r="D296" s="2"/>
      <c r="E296" s="12"/>
      <c r="F296" s="12"/>
      <c r="G296" s="3"/>
      <c r="H296" s="4"/>
      <c r="I296" s="4"/>
      <c r="J296" s="4"/>
      <c r="K296" s="4"/>
      <c r="L296" s="3"/>
    </row>
    <row r="297" spans="1:12" ht="15.75" thickBot="1">
      <c r="A297" s="3"/>
      <c r="B297" s="3"/>
      <c r="C297" s="3"/>
      <c r="D297" s="2"/>
      <c r="E297" s="12"/>
      <c r="F297" s="12"/>
      <c r="G297" s="3"/>
      <c r="H297" s="4"/>
      <c r="I297" s="4"/>
      <c r="J297" s="4"/>
      <c r="K297" s="4"/>
      <c r="L297" s="3"/>
    </row>
    <row r="298" spans="1:12" ht="15.75" thickBot="1">
      <c r="A298" s="3"/>
      <c r="B298" s="3"/>
      <c r="C298" s="3"/>
      <c r="D298" s="2"/>
      <c r="E298" s="12"/>
      <c r="F298" s="12"/>
      <c r="G298" s="3"/>
      <c r="H298" s="4"/>
      <c r="I298" s="4"/>
      <c r="J298" s="4"/>
      <c r="K298" s="4"/>
      <c r="L298" s="3"/>
    </row>
    <row r="299" spans="1:12" ht="15.75" thickBot="1">
      <c r="A299" s="3"/>
      <c r="B299" s="3"/>
      <c r="C299" s="3"/>
      <c r="D299" s="2"/>
      <c r="E299" s="12"/>
      <c r="F299" s="12"/>
      <c r="G299" s="3"/>
      <c r="H299" s="4"/>
      <c r="I299" s="4"/>
      <c r="J299" s="4"/>
      <c r="K299" s="4"/>
      <c r="L299" s="3"/>
    </row>
    <row r="300" spans="1:12" ht="15.75" thickBot="1">
      <c r="A300" s="3"/>
      <c r="B300" s="3"/>
      <c r="C300" s="3"/>
      <c r="D300" s="2"/>
      <c r="E300" s="12"/>
      <c r="F300" s="12"/>
      <c r="G300" s="3"/>
      <c r="H300" s="4"/>
      <c r="I300" s="4"/>
      <c r="J300" s="4"/>
      <c r="K300" s="4"/>
      <c r="L300" s="3"/>
    </row>
    <row r="301" spans="1:12" ht="15.75" thickBot="1">
      <c r="A301" s="3"/>
      <c r="B301" s="3"/>
      <c r="C301" s="3"/>
      <c r="D301" s="2"/>
      <c r="E301" s="12"/>
      <c r="F301" s="12"/>
      <c r="G301" s="3"/>
      <c r="H301" s="4"/>
      <c r="I301" s="4"/>
      <c r="J301" s="4"/>
      <c r="K301" s="4"/>
      <c r="L301" s="3"/>
    </row>
    <row r="302" spans="1:12" ht="15.75" thickBot="1">
      <c r="A302" s="3"/>
      <c r="B302" s="3"/>
      <c r="C302" s="3"/>
      <c r="D302" s="2"/>
      <c r="E302" s="12"/>
      <c r="F302" s="12"/>
      <c r="G302" s="3"/>
      <c r="H302" s="4"/>
      <c r="I302" s="4"/>
      <c r="J302" s="4"/>
      <c r="K302" s="4"/>
      <c r="L302" s="3"/>
    </row>
    <row r="303" spans="1:12" ht="15.75" thickBot="1">
      <c r="A303" s="3"/>
      <c r="B303" s="3"/>
      <c r="C303" s="3"/>
      <c r="D303" s="2"/>
      <c r="E303" s="12"/>
      <c r="F303" s="12"/>
      <c r="G303" s="3"/>
      <c r="H303" s="4"/>
      <c r="I303" s="4"/>
      <c r="J303" s="4"/>
      <c r="K303" s="4"/>
      <c r="L303" s="3"/>
    </row>
    <row r="304" spans="1:12" ht="15.75" thickBot="1">
      <c r="A304" s="3"/>
      <c r="B304" s="3"/>
      <c r="C304" s="3"/>
      <c r="D304" s="2"/>
      <c r="E304" s="12"/>
      <c r="F304" s="12"/>
      <c r="G304" s="3"/>
      <c r="H304" s="4"/>
      <c r="I304" s="4"/>
      <c r="J304" s="4"/>
      <c r="K304" s="4"/>
      <c r="L304" s="3"/>
    </row>
    <row r="305" spans="1:12" ht="15.75" thickBot="1">
      <c r="A305" s="3"/>
      <c r="B305" s="3"/>
      <c r="C305" s="3"/>
      <c r="D305" s="2"/>
      <c r="E305" s="12"/>
      <c r="F305" s="12"/>
      <c r="G305" s="3"/>
      <c r="H305" s="4"/>
      <c r="I305" s="4"/>
      <c r="J305" s="4"/>
      <c r="K305" s="4"/>
      <c r="L305" s="3"/>
    </row>
    <row r="306" spans="1:12" ht="15.75" thickBot="1">
      <c r="A306" s="3"/>
      <c r="B306" s="3"/>
      <c r="C306" s="3"/>
      <c r="D306" s="2"/>
      <c r="E306" s="12"/>
      <c r="F306" s="12"/>
      <c r="G306" s="3"/>
      <c r="H306" s="4"/>
      <c r="I306" s="4"/>
      <c r="J306" s="4"/>
      <c r="K306" s="4"/>
      <c r="L306" s="3"/>
    </row>
    <row r="307" spans="1:12" ht="15.75" thickBot="1">
      <c r="A307" s="3"/>
      <c r="B307" s="3"/>
      <c r="C307" s="3"/>
      <c r="D307" s="2"/>
      <c r="E307" s="12"/>
      <c r="F307" s="12"/>
      <c r="G307" s="3"/>
      <c r="H307" s="4"/>
      <c r="I307" s="4"/>
      <c r="J307" s="4"/>
      <c r="K307" s="4"/>
      <c r="L307" s="3"/>
    </row>
    <row r="308" spans="1:12" ht="15.75" thickBot="1">
      <c r="A308" s="3"/>
      <c r="B308" s="3"/>
      <c r="C308" s="3"/>
      <c r="D308" s="2"/>
      <c r="E308" s="12"/>
      <c r="F308" s="12"/>
      <c r="G308" s="3"/>
      <c r="H308" s="4"/>
      <c r="I308" s="4"/>
      <c r="J308" s="4"/>
      <c r="K308" s="4"/>
      <c r="L308" s="3"/>
    </row>
    <row r="309" spans="1:12" ht="15.75" thickBot="1">
      <c r="A309" s="3"/>
      <c r="B309" s="3"/>
      <c r="C309" s="3"/>
      <c r="D309" s="2"/>
      <c r="E309" s="12"/>
      <c r="F309" s="12"/>
      <c r="G309" s="3"/>
      <c r="H309" s="4"/>
      <c r="I309" s="4"/>
      <c r="J309" s="4"/>
      <c r="K309" s="4"/>
      <c r="L309" s="3"/>
    </row>
    <row r="310" spans="1:12" ht="15.75" thickBot="1">
      <c r="A310" s="3"/>
      <c r="B310" s="3"/>
      <c r="C310" s="3"/>
      <c r="D310" s="2"/>
      <c r="E310" s="12"/>
      <c r="F310" s="12"/>
      <c r="G310" s="3"/>
      <c r="H310" s="4"/>
      <c r="I310" s="4"/>
      <c r="J310" s="4"/>
      <c r="K310" s="4"/>
      <c r="L310" s="3"/>
    </row>
    <row r="311" spans="1:12" ht="15.75" thickBot="1">
      <c r="A311" s="3"/>
      <c r="B311" s="3"/>
      <c r="C311" s="3"/>
      <c r="D311" s="2"/>
      <c r="E311" s="12"/>
      <c r="F311" s="12"/>
      <c r="G311" s="3"/>
      <c r="H311" s="4"/>
      <c r="I311" s="4"/>
      <c r="J311" s="4"/>
      <c r="K311" s="4"/>
      <c r="L311" s="3"/>
    </row>
    <row r="312" spans="1:12" ht="15.75" thickBot="1">
      <c r="A312" s="3"/>
      <c r="B312" s="3"/>
      <c r="C312" s="3"/>
      <c r="D312" s="2"/>
      <c r="E312" s="12"/>
      <c r="F312" s="12"/>
      <c r="G312" s="3"/>
      <c r="H312" s="4"/>
      <c r="I312" s="4"/>
      <c r="J312" s="4"/>
      <c r="K312" s="4"/>
      <c r="L312" s="3"/>
    </row>
    <row r="313" spans="1:12" ht="15.75" thickBot="1">
      <c r="A313" s="3"/>
      <c r="B313" s="3"/>
      <c r="C313" s="3"/>
      <c r="D313" s="2"/>
      <c r="E313" s="12"/>
      <c r="F313" s="12"/>
      <c r="G313" s="3"/>
      <c r="H313" s="4"/>
      <c r="I313" s="4"/>
      <c r="J313" s="4"/>
      <c r="K313" s="4"/>
      <c r="L313" s="3"/>
    </row>
    <row r="314" spans="1:12" ht="15.75" thickBot="1">
      <c r="A314" s="3"/>
      <c r="B314" s="3"/>
      <c r="C314" s="3"/>
      <c r="D314" s="2"/>
      <c r="E314" s="12"/>
      <c r="F314" s="12"/>
      <c r="G314" s="3"/>
      <c r="H314" s="4"/>
      <c r="I314" s="4"/>
      <c r="J314" s="4"/>
      <c r="K314" s="4"/>
      <c r="L314" s="3"/>
    </row>
    <row r="315" spans="1:12" ht="15.75" thickBot="1">
      <c r="A315" s="3"/>
      <c r="B315" s="3"/>
      <c r="C315" s="3"/>
      <c r="D315" s="2"/>
      <c r="E315" s="12"/>
      <c r="F315" s="12"/>
      <c r="G315" s="3"/>
      <c r="H315" s="4"/>
      <c r="I315" s="4"/>
      <c r="J315" s="4"/>
      <c r="K315" s="4"/>
      <c r="L315" s="3"/>
    </row>
    <row r="316" spans="1:12" ht="15.75" thickBot="1">
      <c r="A316" s="3"/>
      <c r="B316" s="3"/>
      <c r="C316" s="3"/>
      <c r="D316" s="2"/>
      <c r="E316" s="12"/>
      <c r="F316" s="12"/>
      <c r="G316" s="3"/>
      <c r="H316" s="4"/>
      <c r="I316" s="4"/>
      <c r="J316" s="4"/>
      <c r="K316" s="4"/>
      <c r="L316" s="3"/>
    </row>
    <row r="317" spans="1:12" ht="15.75" thickBot="1">
      <c r="A317" s="3"/>
      <c r="B317" s="3"/>
      <c r="C317" s="3"/>
      <c r="D317" s="2"/>
      <c r="E317" s="12"/>
      <c r="F317" s="12"/>
      <c r="G317" s="3"/>
      <c r="H317" s="4"/>
      <c r="I317" s="4"/>
      <c r="J317" s="4"/>
      <c r="K317" s="4"/>
      <c r="L317" s="3"/>
    </row>
    <row r="318" spans="1:12" ht="15.75" thickBot="1">
      <c r="A318" s="3"/>
      <c r="B318" s="3"/>
      <c r="C318" s="3"/>
      <c r="D318" s="2"/>
      <c r="E318" s="12"/>
      <c r="F318" s="12"/>
      <c r="G318" s="3"/>
      <c r="H318" s="4"/>
      <c r="I318" s="4"/>
      <c r="J318" s="4"/>
      <c r="K318" s="4"/>
      <c r="L318" s="3"/>
    </row>
    <row r="319" spans="1:12" ht="15.75" thickBot="1">
      <c r="A319" s="3"/>
      <c r="B319" s="3"/>
      <c r="C319" s="3"/>
      <c r="D319" s="2"/>
      <c r="E319" s="12"/>
      <c r="F319" s="12"/>
      <c r="G319" s="3"/>
      <c r="H319" s="4"/>
      <c r="I319" s="4"/>
      <c r="J319" s="4"/>
      <c r="K319" s="4"/>
      <c r="L319" s="3"/>
    </row>
    <row r="320" spans="1:12" ht="15.75" thickBot="1">
      <c r="A320" s="3"/>
      <c r="B320" s="3"/>
      <c r="C320" s="3"/>
      <c r="D320" s="2"/>
      <c r="E320" s="12"/>
      <c r="F320" s="12"/>
      <c r="G320" s="3"/>
      <c r="H320" s="4"/>
      <c r="I320" s="4"/>
      <c r="J320" s="4"/>
      <c r="K320" s="4"/>
      <c r="L320" s="3"/>
    </row>
    <row r="321" spans="1:12" ht="15.75" thickBot="1">
      <c r="A321" s="3"/>
      <c r="B321" s="3"/>
      <c r="C321" s="3"/>
      <c r="D321" s="2"/>
      <c r="E321" s="12"/>
      <c r="F321" s="12"/>
      <c r="G321" s="3"/>
      <c r="H321" s="4"/>
      <c r="I321" s="4"/>
      <c r="J321" s="4"/>
      <c r="K321" s="4"/>
      <c r="L321" s="3"/>
    </row>
    <row r="322" spans="1:12" ht="15.75" thickBot="1">
      <c r="A322" s="3"/>
      <c r="B322" s="3"/>
      <c r="C322" s="3"/>
      <c r="D322" s="2"/>
      <c r="E322" s="12"/>
      <c r="F322" s="12"/>
      <c r="G322" s="3"/>
      <c r="H322" s="4"/>
      <c r="I322" s="4"/>
      <c r="J322" s="4"/>
      <c r="K322" s="4"/>
      <c r="L322" s="3"/>
    </row>
    <row r="323" spans="1:12" ht="15.75" thickBot="1">
      <c r="A323" s="3"/>
      <c r="B323" s="3"/>
      <c r="C323" s="3"/>
      <c r="D323" s="2"/>
      <c r="E323" s="12"/>
      <c r="F323" s="12"/>
      <c r="G323" s="3"/>
      <c r="H323" s="4"/>
      <c r="I323" s="4"/>
      <c r="J323" s="4"/>
      <c r="K323" s="4"/>
      <c r="L323" s="3"/>
    </row>
    <row r="324" spans="1:12" ht="15.75" thickBot="1">
      <c r="A324" s="3"/>
      <c r="B324" s="3"/>
      <c r="C324" s="3"/>
      <c r="D324" s="2"/>
      <c r="E324" s="12"/>
      <c r="F324" s="12"/>
      <c r="G324" s="3"/>
      <c r="H324" s="4"/>
      <c r="I324" s="4"/>
      <c r="J324" s="4"/>
      <c r="K324" s="4"/>
      <c r="L324" s="3"/>
    </row>
    <row r="325" spans="1:12" ht="15.75" thickBot="1">
      <c r="A325" s="3"/>
      <c r="B325" s="3"/>
      <c r="C325" s="3"/>
      <c r="D325" s="2"/>
      <c r="E325" s="12"/>
      <c r="F325" s="12"/>
      <c r="G325" s="3"/>
      <c r="H325" s="4"/>
      <c r="I325" s="4"/>
      <c r="J325" s="4"/>
      <c r="K325" s="4"/>
      <c r="L325" s="3"/>
    </row>
    <row r="326" spans="1:12" ht="15.75" thickBot="1">
      <c r="A326" s="3"/>
      <c r="B326" s="3"/>
      <c r="C326" s="3"/>
      <c r="D326" s="2"/>
      <c r="E326" s="12"/>
      <c r="F326" s="12"/>
      <c r="G326" s="3"/>
      <c r="H326" s="4"/>
      <c r="I326" s="4"/>
      <c r="J326" s="4"/>
      <c r="K326" s="4"/>
      <c r="L326" s="3"/>
    </row>
    <row r="327" spans="1:12" ht="15.75" thickBot="1">
      <c r="A327" s="3"/>
      <c r="B327" s="3"/>
      <c r="C327" s="3"/>
      <c r="D327" s="2"/>
      <c r="E327" s="12"/>
      <c r="F327" s="12"/>
      <c r="G327" s="3"/>
      <c r="H327" s="4"/>
      <c r="I327" s="4"/>
      <c r="J327" s="4"/>
      <c r="K327" s="4"/>
      <c r="L327" s="3"/>
    </row>
    <row r="328" spans="1:12" ht="15.75" thickBot="1">
      <c r="A328" s="3"/>
      <c r="B328" s="3"/>
      <c r="C328" s="3"/>
      <c r="D328" s="2"/>
      <c r="E328" s="12"/>
      <c r="F328" s="12"/>
      <c r="G328" s="3"/>
      <c r="H328" s="4"/>
      <c r="I328" s="4"/>
      <c r="J328" s="4"/>
      <c r="K328" s="4"/>
      <c r="L328" s="3"/>
    </row>
    <row r="329" spans="1:12" ht="15.75" thickBot="1">
      <c r="A329" s="3"/>
      <c r="B329" s="3"/>
      <c r="C329" s="3"/>
      <c r="D329" s="2"/>
      <c r="E329" s="12"/>
      <c r="F329" s="12"/>
      <c r="G329" s="3"/>
      <c r="H329" s="4"/>
      <c r="I329" s="4"/>
      <c r="J329" s="4"/>
      <c r="K329" s="4"/>
      <c r="L329" s="3"/>
    </row>
    <row r="330" spans="1:12" ht="15.75" thickBot="1">
      <c r="A330" s="3"/>
      <c r="B330" s="3"/>
      <c r="C330" s="3"/>
      <c r="D330" s="2"/>
      <c r="E330" s="12"/>
      <c r="F330" s="12"/>
      <c r="G330" s="3"/>
      <c r="H330" s="4"/>
      <c r="I330" s="4"/>
      <c r="J330" s="4"/>
      <c r="K330" s="4"/>
      <c r="L330" s="3"/>
    </row>
    <row r="331" spans="1:12" ht="15.75" thickBot="1">
      <c r="A331" s="3"/>
      <c r="B331" s="3"/>
      <c r="C331" s="3"/>
      <c r="D331" s="2"/>
      <c r="E331" s="12"/>
      <c r="F331" s="12"/>
      <c r="G331" s="3"/>
      <c r="H331" s="4"/>
      <c r="I331" s="4"/>
      <c r="J331" s="4"/>
      <c r="K331" s="4"/>
      <c r="L331" s="3"/>
    </row>
    <row r="332" spans="1:12" ht="15.75" thickBot="1">
      <c r="A332" s="3"/>
      <c r="B332" s="3"/>
      <c r="C332" s="3"/>
      <c r="D332" s="2"/>
      <c r="E332" s="12"/>
      <c r="F332" s="12"/>
      <c r="G332" s="3"/>
      <c r="H332" s="4"/>
      <c r="I332" s="4"/>
      <c r="J332" s="4"/>
      <c r="K332" s="4"/>
      <c r="L332" s="3"/>
    </row>
    <row r="333" spans="1:12" ht="15.75" thickBot="1">
      <c r="A333" s="3"/>
      <c r="B333" s="3"/>
      <c r="C333" s="3"/>
      <c r="D333" s="2"/>
      <c r="E333" s="12"/>
      <c r="F333" s="12"/>
      <c r="G333" s="3"/>
      <c r="H333" s="4"/>
      <c r="I333" s="4"/>
      <c r="J333" s="4"/>
      <c r="K333" s="4"/>
      <c r="L333" s="3"/>
    </row>
    <row r="334" spans="1:12" ht="15.75" thickBot="1">
      <c r="A334" s="3"/>
      <c r="B334" s="3"/>
      <c r="C334" s="3"/>
      <c r="D334" s="2"/>
      <c r="E334" s="12"/>
      <c r="F334" s="12"/>
      <c r="G334" s="3"/>
      <c r="H334" s="4"/>
      <c r="I334" s="4"/>
      <c r="J334" s="4"/>
      <c r="K334" s="4"/>
      <c r="L334" s="3"/>
    </row>
    <row r="335" spans="1:12" ht="15.75" thickBot="1">
      <c r="A335" s="3"/>
      <c r="B335" s="3"/>
      <c r="C335" s="3"/>
      <c r="D335" s="2"/>
      <c r="E335" s="12"/>
      <c r="F335" s="12"/>
      <c r="G335" s="3"/>
      <c r="H335" s="4"/>
      <c r="I335" s="4"/>
      <c r="J335" s="4"/>
      <c r="K335" s="4"/>
      <c r="L335" s="3"/>
    </row>
    <row r="336" spans="1:12" ht="15.75" thickBot="1">
      <c r="A336" s="3"/>
      <c r="B336" s="3"/>
      <c r="C336" s="3"/>
      <c r="D336" s="2"/>
      <c r="E336" s="12"/>
      <c r="F336" s="12"/>
      <c r="G336" s="3"/>
      <c r="H336" s="4"/>
      <c r="I336" s="4"/>
      <c r="J336" s="4"/>
      <c r="K336" s="4"/>
      <c r="L336" s="3"/>
    </row>
    <row r="337" spans="1:12" ht="15.75" thickBot="1">
      <c r="A337" s="3"/>
      <c r="B337" s="3"/>
      <c r="C337" s="3"/>
      <c r="D337" s="2"/>
      <c r="E337" s="12"/>
      <c r="F337" s="12"/>
      <c r="G337" s="3"/>
      <c r="H337" s="4"/>
      <c r="I337" s="4"/>
      <c r="J337" s="4"/>
      <c r="K337" s="4"/>
      <c r="L337" s="3"/>
    </row>
    <row r="338" spans="1:12" ht="15.75" thickBot="1">
      <c r="A338" s="3"/>
      <c r="B338" s="3"/>
      <c r="C338" s="3"/>
      <c r="D338" s="2"/>
      <c r="E338" s="12"/>
      <c r="F338" s="12"/>
      <c r="G338" s="3"/>
      <c r="H338" s="4"/>
      <c r="I338" s="4"/>
      <c r="J338" s="4"/>
      <c r="K338" s="4"/>
      <c r="L338" s="3"/>
    </row>
    <row r="339" spans="1:12" ht="15.75" thickBot="1">
      <c r="A339" s="3"/>
      <c r="B339" s="3"/>
      <c r="C339" s="3"/>
      <c r="D339" s="2"/>
      <c r="E339" s="12"/>
      <c r="F339" s="12"/>
      <c r="G339" s="3"/>
      <c r="H339" s="4"/>
      <c r="I339" s="4"/>
      <c r="J339" s="4"/>
      <c r="K339" s="4"/>
      <c r="L339" s="3"/>
    </row>
    <row r="340" spans="1:12" ht="15.75" thickBot="1">
      <c r="A340" s="3"/>
      <c r="B340" s="3"/>
      <c r="C340" s="3"/>
      <c r="D340" s="2"/>
      <c r="E340" s="12"/>
      <c r="F340" s="12"/>
      <c r="G340" s="3"/>
      <c r="H340" s="4"/>
      <c r="I340" s="4"/>
      <c r="J340" s="4"/>
      <c r="K340" s="4"/>
      <c r="L340" s="3"/>
    </row>
    <row r="341" spans="1:12" ht="15.75" thickBot="1">
      <c r="A341" s="3"/>
      <c r="B341" s="3"/>
      <c r="C341" s="3"/>
      <c r="D341" s="2"/>
      <c r="E341" s="12"/>
      <c r="F341" s="12"/>
      <c r="G341" s="3"/>
      <c r="H341" s="4"/>
      <c r="I341" s="4"/>
      <c r="J341" s="4"/>
      <c r="K341" s="4"/>
      <c r="L341" s="3"/>
    </row>
    <row r="342" spans="1:12" ht="15.75" thickBot="1">
      <c r="A342" s="3"/>
      <c r="B342" s="3"/>
      <c r="C342" s="3"/>
      <c r="D342" s="2"/>
      <c r="E342" s="12"/>
      <c r="F342" s="12"/>
      <c r="G342" s="3"/>
      <c r="H342" s="4"/>
      <c r="I342" s="4"/>
      <c r="J342" s="4"/>
      <c r="K342" s="4"/>
      <c r="L342" s="3"/>
    </row>
    <row r="343" spans="1:12" ht="15.75" thickBot="1">
      <c r="A343" s="3"/>
      <c r="B343" s="3"/>
      <c r="C343" s="3"/>
      <c r="D343" s="2"/>
      <c r="E343" s="12"/>
      <c r="F343" s="12"/>
      <c r="G343" s="3"/>
      <c r="H343" s="4"/>
      <c r="I343" s="4"/>
      <c r="J343" s="4"/>
      <c r="K343" s="4"/>
      <c r="L343" s="3"/>
    </row>
    <row r="344" spans="1:12" ht="15.75" thickBot="1">
      <c r="A344" s="3"/>
      <c r="B344" s="3"/>
      <c r="C344" s="3"/>
      <c r="D344" s="2"/>
      <c r="E344" s="12"/>
      <c r="F344" s="12"/>
      <c r="G344" s="3"/>
      <c r="H344" s="4"/>
      <c r="I344" s="4"/>
      <c r="J344" s="4"/>
      <c r="K344" s="4"/>
      <c r="L344" s="3"/>
    </row>
    <row r="345" spans="1:12" ht="15.75" thickBot="1">
      <c r="A345" s="3"/>
      <c r="B345" s="3"/>
      <c r="C345" s="3"/>
      <c r="D345" s="2"/>
      <c r="E345" s="12"/>
      <c r="F345" s="12"/>
      <c r="G345" s="3"/>
      <c r="H345" s="4"/>
      <c r="I345" s="4"/>
      <c r="J345" s="4"/>
      <c r="K345" s="4"/>
      <c r="L345" s="3"/>
    </row>
    <row r="346" spans="1:12" ht="15.75" thickBot="1">
      <c r="A346" s="3"/>
      <c r="B346" s="3"/>
      <c r="C346" s="3"/>
      <c r="D346" s="2"/>
      <c r="E346" s="12"/>
      <c r="F346" s="12"/>
      <c r="G346" s="3"/>
      <c r="H346" s="4"/>
      <c r="I346" s="4"/>
      <c r="J346" s="4"/>
      <c r="K346" s="4"/>
      <c r="L346" s="3"/>
    </row>
    <row r="347" spans="1:12" ht="15.75" thickBot="1">
      <c r="A347" s="3"/>
      <c r="B347" s="3"/>
      <c r="C347" s="3"/>
      <c r="D347" s="2"/>
      <c r="E347" s="12"/>
      <c r="F347" s="12"/>
      <c r="G347" s="3"/>
      <c r="H347" s="4"/>
      <c r="I347" s="4"/>
      <c r="J347" s="4"/>
      <c r="K347" s="4"/>
      <c r="L347" s="3"/>
    </row>
    <row r="348" spans="1:12" ht="15.75" thickBot="1">
      <c r="A348" s="3"/>
      <c r="B348" s="3"/>
      <c r="C348" s="3"/>
      <c r="D348" s="2"/>
      <c r="E348" s="12"/>
      <c r="F348" s="12"/>
      <c r="G348" s="3"/>
      <c r="H348" s="4"/>
      <c r="I348" s="4"/>
      <c r="J348" s="4"/>
      <c r="K348" s="4"/>
      <c r="L348" s="3"/>
    </row>
    <row r="349" spans="1:12" ht="15.75" thickBot="1">
      <c r="A349" s="3"/>
      <c r="B349" s="3"/>
      <c r="C349" s="3"/>
      <c r="D349" s="2"/>
      <c r="E349" s="12"/>
      <c r="F349" s="12"/>
      <c r="G349" s="3"/>
      <c r="H349" s="4"/>
      <c r="I349" s="4"/>
      <c r="J349" s="4"/>
      <c r="K349" s="4"/>
      <c r="L349" s="3"/>
    </row>
    <row r="350" spans="1:12" ht="15.75" thickBot="1">
      <c r="A350" s="3"/>
      <c r="B350" s="3"/>
      <c r="C350" s="3"/>
      <c r="D350" s="2"/>
      <c r="E350" s="12"/>
      <c r="F350" s="12"/>
      <c r="G350" s="3"/>
      <c r="H350" s="4"/>
      <c r="I350" s="4"/>
      <c r="J350" s="4"/>
      <c r="K350" s="4"/>
      <c r="L350" s="3"/>
    </row>
    <row r="351" spans="1:12" ht="15.75" thickBot="1">
      <c r="A351" s="3"/>
      <c r="B351" s="3"/>
      <c r="C351" s="3"/>
      <c r="D351" s="2"/>
      <c r="E351" s="12"/>
      <c r="F351" s="12"/>
      <c r="G351" s="3"/>
      <c r="H351" s="4"/>
      <c r="I351" s="4"/>
      <c r="J351" s="4"/>
      <c r="K351" s="4"/>
      <c r="L351" s="3"/>
    </row>
    <row r="352" spans="1:12" ht="15.75" thickBot="1">
      <c r="A352" s="3"/>
      <c r="B352" s="3"/>
      <c r="C352" s="3"/>
      <c r="D352" s="2"/>
      <c r="E352" s="12"/>
      <c r="F352" s="12"/>
      <c r="G352" s="3"/>
      <c r="H352" s="4"/>
      <c r="I352" s="4"/>
      <c r="J352" s="4"/>
      <c r="K352" s="4"/>
      <c r="L352" s="3"/>
    </row>
    <row r="353" spans="1:12" ht="15.75" thickBot="1">
      <c r="A353" s="3"/>
      <c r="B353" s="3"/>
      <c r="C353" s="3"/>
      <c r="D353" s="2"/>
      <c r="E353" s="12"/>
      <c r="F353" s="12"/>
      <c r="G353" s="3"/>
      <c r="H353" s="4"/>
      <c r="I353" s="4"/>
      <c r="J353" s="4"/>
      <c r="K353" s="4"/>
      <c r="L353" s="3"/>
    </row>
    <row r="354" spans="1:12" ht="15.75" thickBot="1">
      <c r="A354" s="3"/>
      <c r="B354" s="3"/>
      <c r="C354" s="3"/>
      <c r="D354" s="2"/>
      <c r="E354" s="12"/>
      <c r="F354" s="12"/>
      <c r="G354" s="3"/>
      <c r="H354" s="4"/>
      <c r="I354" s="4"/>
      <c r="J354" s="4"/>
      <c r="K354" s="4"/>
      <c r="L354" s="3"/>
    </row>
    <row r="355" spans="1:12" ht="15.75" thickBot="1">
      <c r="A355" s="3"/>
      <c r="B355" s="3"/>
      <c r="C355" s="3"/>
      <c r="D355" s="2"/>
      <c r="E355" s="12"/>
      <c r="F355" s="12"/>
      <c r="G355" s="3"/>
      <c r="H355" s="4"/>
      <c r="I355" s="4"/>
      <c r="J355" s="4"/>
      <c r="K355" s="4"/>
      <c r="L355" s="3"/>
    </row>
    <row r="356" spans="1:12" ht="15.75" thickBot="1">
      <c r="A356" s="3"/>
      <c r="B356" s="3"/>
      <c r="C356" s="3"/>
      <c r="D356" s="2"/>
      <c r="E356" s="12"/>
      <c r="F356" s="12"/>
      <c r="G356" s="3"/>
      <c r="H356" s="4"/>
      <c r="I356" s="4"/>
      <c r="J356" s="4"/>
      <c r="K356" s="4"/>
      <c r="L356" s="3"/>
    </row>
    <row r="357" spans="1:12" ht="15.75" thickBot="1">
      <c r="A357" s="3"/>
      <c r="B357" s="3"/>
      <c r="C357" s="3"/>
      <c r="D357" s="2"/>
      <c r="E357" s="12"/>
      <c r="F357" s="12"/>
      <c r="G357" s="3"/>
      <c r="H357" s="4"/>
      <c r="I357" s="4"/>
      <c r="J357" s="4"/>
      <c r="K357" s="4"/>
      <c r="L357" s="3"/>
    </row>
    <row r="358" spans="1:12" ht="15.75" thickBot="1">
      <c r="A358" s="3"/>
      <c r="B358" s="3"/>
      <c r="C358" s="3"/>
      <c r="D358" s="2"/>
      <c r="E358" s="12"/>
      <c r="F358" s="12"/>
      <c r="G358" s="3"/>
      <c r="H358" s="4"/>
      <c r="I358" s="4"/>
      <c r="J358" s="4"/>
      <c r="K358" s="4"/>
      <c r="L358" s="3"/>
    </row>
    <row r="359" spans="1:12" ht="15.75" thickBot="1">
      <c r="A359" s="3"/>
      <c r="B359" s="3"/>
      <c r="C359" s="3"/>
      <c r="D359" s="2"/>
      <c r="E359" s="12"/>
      <c r="F359" s="12"/>
      <c r="G359" s="3"/>
      <c r="H359" s="4"/>
      <c r="I359" s="4"/>
      <c r="J359" s="4"/>
      <c r="K359" s="4"/>
      <c r="L359" s="3"/>
    </row>
    <row r="360" spans="1:12" ht="15.75" thickBot="1">
      <c r="A360" s="3"/>
      <c r="B360" s="3"/>
      <c r="C360" s="3"/>
      <c r="D360" s="2"/>
      <c r="E360" s="12"/>
      <c r="F360" s="12"/>
      <c r="G360" s="3"/>
      <c r="H360" s="4"/>
      <c r="I360" s="4"/>
      <c r="J360" s="4"/>
      <c r="K360" s="4"/>
      <c r="L360" s="3"/>
    </row>
    <row r="361" spans="1:12" ht="15.75" thickBot="1">
      <c r="A361" s="3"/>
      <c r="B361" s="3"/>
      <c r="C361" s="3"/>
      <c r="D361" s="2"/>
      <c r="E361" s="12"/>
      <c r="F361" s="12"/>
      <c r="G361" s="3"/>
      <c r="H361" s="4"/>
      <c r="I361" s="4"/>
      <c r="J361" s="4"/>
      <c r="K361" s="4"/>
      <c r="L361" s="3"/>
    </row>
    <row r="362" spans="1:12" ht="15.75" thickBot="1">
      <c r="A362" s="3"/>
      <c r="B362" s="3"/>
      <c r="C362" s="3"/>
      <c r="D362" s="2"/>
      <c r="E362" s="12"/>
      <c r="F362" s="12"/>
      <c r="G362" s="3"/>
      <c r="H362" s="4"/>
      <c r="I362" s="4"/>
      <c r="J362" s="4"/>
      <c r="K362" s="4"/>
      <c r="L362" s="3"/>
    </row>
    <row r="363" spans="1:12" ht="15.75" thickBot="1">
      <c r="A363" s="3"/>
      <c r="B363" s="3"/>
      <c r="C363" s="3"/>
      <c r="D363" s="2"/>
      <c r="E363" s="12"/>
      <c r="F363" s="12"/>
      <c r="G363" s="3"/>
      <c r="H363" s="4"/>
      <c r="I363" s="4"/>
      <c r="J363" s="4"/>
      <c r="K363" s="4"/>
      <c r="L363" s="3"/>
    </row>
    <row r="364" spans="1:12" ht="15.75" thickBot="1">
      <c r="A364" s="3"/>
      <c r="B364" s="3"/>
      <c r="C364" s="3"/>
      <c r="D364" s="2"/>
      <c r="E364" s="12"/>
      <c r="F364" s="12"/>
      <c r="G364" s="3"/>
      <c r="H364" s="4"/>
      <c r="I364" s="4"/>
      <c r="J364" s="4"/>
      <c r="K364" s="4"/>
      <c r="L364" s="3"/>
    </row>
    <row r="365" spans="1:12" ht="15.75" thickBot="1">
      <c r="A365" s="3"/>
      <c r="B365" s="3"/>
      <c r="C365" s="3"/>
      <c r="D365" s="2"/>
      <c r="E365" s="12"/>
      <c r="F365" s="12"/>
      <c r="G365" s="3"/>
      <c r="H365" s="4"/>
      <c r="I365" s="4"/>
      <c r="J365" s="4"/>
      <c r="K365" s="4"/>
      <c r="L365" s="3"/>
    </row>
    <row r="366" spans="1:12" ht="15.75" thickBot="1">
      <c r="A366" s="3"/>
      <c r="B366" s="3"/>
      <c r="C366" s="3"/>
      <c r="D366" s="2"/>
      <c r="E366" s="12"/>
      <c r="F366" s="12"/>
      <c r="G366" s="3"/>
      <c r="H366" s="4"/>
      <c r="I366" s="4"/>
      <c r="J366" s="4"/>
      <c r="K366" s="4"/>
      <c r="L366" s="3"/>
    </row>
    <row r="367" spans="1:12" ht="15.75" thickBot="1">
      <c r="A367" s="3"/>
      <c r="B367" s="3"/>
      <c r="C367" s="3"/>
      <c r="D367" s="2"/>
      <c r="E367" s="12"/>
      <c r="F367" s="12"/>
      <c r="G367" s="3"/>
      <c r="H367" s="4"/>
      <c r="I367" s="4"/>
      <c r="J367" s="4"/>
      <c r="K367" s="4"/>
      <c r="L367" s="3"/>
    </row>
    <row r="368" spans="1:12" ht="15.75" thickBot="1">
      <c r="A368" s="3"/>
      <c r="B368" s="3"/>
      <c r="C368" s="3"/>
      <c r="D368" s="2"/>
      <c r="E368" s="12"/>
      <c r="F368" s="12"/>
      <c r="G368" s="3"/>
      <c r="H368" s="4"/>
      <c r="I368" s="4"/>
      <c r="J368" s="4"/>
      <c r="K368" s="4"/>
      <c r="L368" s="3"/>
    </row>
    <row r="369" spans="1:12" ht="15.75" thickBot="1">
      <c r="A369" s="3"/>
      <c r="B369" s="3"/>
      <c r="C369" s="3"/>
      <c r="D369" s="2"/>
      <c r="E369" s="12"/>
      <c r="F369" s="12"/>
      <c r="G369" s="3"/>
      <c r="H369" s="4"/>
      <c r="I369" s="4"/>
      <c r="J369" s="4"/>
      <c r="K369" s="4"/>
      <c r="L369" s="3"/>
    </row>
    <row r="370" spans="1:12" ht="15.75" thickBot="1">
      <c r="A370" s="3"/>
      <c r="B370" s="3"/>
      <c r="C370" s="3"/>
      <c r="D370" s="2"/>
      <c r="E370" s="12"/>
      <c r="F370" s="12"/>
      <c r="G370" s="3"/>
      <c r="H370" s="4"/>
      <c r="I370" s="4"/>
      <c r="J370" s="4"/>
      <c r="K370" s="4"/>
      <c r="L370" s="3"/>
    </row>
    <row r="371" spans="1:12" ht="15.75" thickBot="1">
      <c r="A371" s="3"/>
      <c r="B371" s="3"/>
      <c r="C371" s="3"/>
      <c r="D371" s="2"/>
      <c r="E371" s="12"/>
      <c r="F371" s="12"/>
      <c r="G371" s="3"/>
      <c r="H371" s="4"/>
      <c r="I371" s="4"/>
      <c r="J371" s="4"/>
      <c r="K371" s="4"/>
      <c r="L371" s="3"/>
    </row>
    <row r="372" spans="1:12" ht="15.75" thickBot="1">
      <c r="A372" s="3"/>
      <c r="B372" s="3"/>
      <c r="C372" s="3"/>
      <c r="D372" s="2"/>
      <c r="E372" s="12"/>
      <c r="F372" s="12"/>
      <c r="G372" s="3"/>
      <c r="H372" s="4"/>
      <c r="I372" s="4"/>
      <c r="J372" s="4"/>
      <c r="K372" s="4"/>
      <c r="L372" s="3"/>
    </row>
    <row r="373" spans="1:12" ht="15.75" thickBot="1">
      <c r="A373" s="3"/>
      <c r="B373" s="3"/>
      <c r="C373" s="3"/>
      <c r="D373" s="2"/>
      <c r="E373" s="12"/>
      <c r="F373" s="12"/>
      <c r="G373" s="3"/>
      <c r="H373" s="4"/>
      <c r="I373" s="4"/>
      <c r="J373" s="4"/>
      <c r="K373" s="4"/>
      <c r="L373" s="3"/>
    </row>
    <row r="374" spans="1:12" ht="15.75" thickBot="1">
      <c r="A374" s="3"/>
      <c r="B374" s="3"/>
      <c r="C374" s="3"/>
      <c r="D374" s="2"/>
      <c r="E374" s="12"/>
      <c r="F374" s="12"/>
      <c r="G374" s="3"/>
      <c r="H374" s="4"/>
      <c r="I374" s="4"/>
      <c r="J374" s="4"/>
      <c r="K374" s="4"/>
      <c r="L374" s="3"/>
    </row>
    <row r="375" spans="1:12" ht="15.75" thickBot="1">
      <c r="A375" s="3"/>
      <c r="B375" s="3"/>
      <c r="C375" s="3"/>
      <c r="D375" s="2"/>
      <c r="E375" s="12"/>
      <c r="F375" s="12"/>
      <c r="G375" s="3"/>
      <c r="H375" s="4"/>
      <c r="I375" s="4"/>
      <c r="J375" s="4"/>
      <c r="K375" s="4"/>
      <c r="L375" s="3"/>
    </row>
    <row r="376" spans="1:12" ht="15.75" thickBot="1">
      <c r="A376" s="3"/>
      <c r="B376" s="3"/>
      <c r="C376" s="3"/>
      <c r="D376" s="2"/>
      <c r="E376" s="12"/>
      <c r="F376" s="12"/>
      <c r="G376" s="3"/>
      <c r="H376" s="4"/>
      <c r="I376" s="4"/>
      <c r="J376" s="4"/>
      <c r="K376" s="4"/>
      <c r="L376" s="3"/>
    </row>
    <row r="377" spans="1:12" ht="15.75" thickBot="1">
      <c r="A377" s="3"/>
      <c r="B377" s="3"/>
      <c r="C377" s="3"/>
      <c r="D377" s="2"/>
      <c r="E377" s="12"/>
      <c r="F377" s="12"/>
      <c r="G377" s="3"/>
      <c r="H377" s="4"/>
      <c r="I377" s="4"/>
      <c r="J377" s="4"/>
      <c r="K377" s="4"/>
      <c r="L377" s="3"/>
    </row>
    <row r="378" spans="1:12" ht="15.75" thickBot="1">
      <c r="A378" s="3"/>
      <c r="B378" s="3"/>
      <c r="C378" s="3"/>
      <c r="D378" s="2"/>
      <c r="E378" s="12"/>
      <c r="F378" s="12"/>
      <c r="G378" s="3"/>
      <c r="H378" s="4"/>
      <c r="I378" s="4"/>
      <c r="J378" s="4"/>
      <c r="K378" s="4"/>
      <c r="L378" s="3"/>
    </row>
    <row r="379" spans="1:12" ht="15.75" thickBot="1">
      <c r="A379" s="3"/>
      <c r="B379" s="3"/>
      <c r="C379" s="3"/>
      <c r="D379" s="2"/>
      <c r="E379" s="12"/>
      <c r="F379" s="12"/>
      <c r="G379" s="3"/>
      <c r="H379" s="4"/>
      <c r="I379" s="4"/>
      <c r="J379" s="4"/>
      <c r="K379" s="4"/>
      <c r="L379" s="3"/>
    </row>
    <row r="380" spans="1:12" ht="15.75" thickBot="1">
      <c r="A380" s="3"/>
      <c r="B380" s="3"/>
      <c r="C380" s="3"/>
      <c r="D380" s="2"/>
      <c r="E380" s="12"/>
      <c r="F380" s="12"/>
      <c r="G380" s="3"/>
      <c r="H380" s="4"/>
      <c r="I380" s="4"/>
      <c r="J380" s="4"/>
      <c r="K380" s="4"/>
      <c r="L380" s="3"/>
    </row>
    <row r="381" spans="1:12" ht="15.75" thickBot="1">
      <c r="A381" s="3"/>
      <c r="B381" s="3"/>
      <c r="C381" s="3"/>
      <c r="D381" s="2"/>
      <c r="E381" s="12"/>
      <c r="F381" s="12"/>
      <c r="G381" s="3"/>
      <c r="H381" s="4"/>
      <c r="I381" s="4"/>
      <c r="J381" s="4"/>
      <c r="K381" s="4"/>
      <c r="L381" s="3"/>
    </row>
    <row r="382" spans="1:12" ht="15.75" thickBot="1">
      <c r="A382" s="3"/>
      <c r="B382" s="3"/>
      <c r="C382" s="3"/>
      <c r="D382" s="2"/>
      <c r="E382" s="12"/>
      <c r="F382" s="12"/>
      <c r="G382" s="3"/>
      <c r="H382" s="4"/>
      <c r="I382" s="4"/>
      <c r="J382" s="4"/>
      <c r="K382" s="4"/>
      <c r="L382" s="3"/>
    </row>
    <row r="383" spans="1:12" ht="15.75" thickBot="1">
      <c r="A383" s="3"/>
      <c r="B383" s="3"/>
      <c r="C383" s="3"/>
      <c r="D383" s="2"/>
      <c r="E383" s="12"/>
      <c r="F383" s="12"/>
      <c r="G383" s="3"/>
      <c r="H383" s="4"/>
      <c r="I383" s="4"/>
      <c r="J383" s="4"/>
      <c r="K383" s="4"/>
      <c r="L383" s="3"/>
    </row>
    <row r="384" spans="1:12" ht="15.75" thickBot="1">
      <c r="A384" s="3"/>
      <c r="B384" s="3"/>
      <c r="C384" s="3"/>
      <c r="D384" s="2"/>
      <c r="E384" s="12"/>
      <c r="F384" s="12"/>
      <c r="G384" s="3"/>
      <c r="H384" s="4"/>
      <c r="I384" s="4"/>
      <c r="J384" s="4"/>
      <c r="K384" s="4"/>
      <c r="L384" s="3"/>
    </row>
    <row r="385" spans="1:12" ht="15.75" thickBot="1">
      <c r="A385" s="3"/>
      <c r="B385" s="3"/>
      <c r="C385" s="3"/>
      <c r="D385" s="2"/>
      <c r="E385" s="12"/>
      <c r="F385" s="12"/>
      <c r="G385" s="3"/>
      <c r="H385" s="4"/>
      <c r="I385" s="4"/>
      <c r="J385" s="4"/>
      <c r="K385" s="4"/>
      <c r="L385" s="3"/>
    </row>
    <row r="386" spans="1:12" ht="15.75" thickBot="1">
      <c r="A386" s="3"/>
      <c r="B386" s="3"/>
      <c r="C386" s="3"/>
      <c r="D386" s="2"/>
      <c r="E386" s="12"/>
      <c r="F386" s="12"/>
      <c r="G386" s="3"/>
      <c r="H386" s="4"/>
      <c r="I386" s="4"/>
      <c r="J386" s="4"/>
      <c r="K386" s="4"/>
      <c r="L386" s="3"/>
    </row>
    <row r="387" spans="1:12" ht="15.75" thickBot="1">
      <c r="A387" s="3"/>
      <c r="B387" s="3"/>
      <c r="C387" s="3"/>
      <c r="D387" s="2"/>
      <c r="E387" s="12"/>
      <c r="F387" s="12"/>
      <c r="G387" s="3"/>
      <c r="H387" s="4"/>
      <c r="I387" s="4"/>
      <c r="J387" s="4"/>
      <c r="K387" s="4"/>
      <c r="L387" s="3"/>
    </row>
    <row r="388" spans="1:12" ht="15.75" thickBot="1">
      <c r="A388" s="3"/>
      <c r="B388" s="3"/>
      <c r="C388" s="3"/>
      <c r="D388" s="2"/>
      <c r="E388" s="12"/>
      <c r="F388" s="12"/>
      <c r="G388" s="3"/>
      <c r="H388" s="4"/>
      <c r="I388" s="4"/>
      <c r="J388" s="4"/>
      <c r="K388" s="4"/>
      <c r="L388" s="3"/>
    </row>
    <row r="389" spans="1:12" ht="15.75" thickBot="1">
      <c r="A389" s="3"/>
      <c r="B389" s="3"/>
      <c r="C389" s="3"/>
      <c r="D389" s="2"/>
      <c r="E389" s="12"/>
      <c r="F389" s="12"/>
      <c r="G389" s="3"/>
      <c r="H389" s="4"/>
      <c r="I389" s="4"/>
      <c r="J389" s="4"/>
      <c r="K389" s="4"/>
      <c r="L389" s="3"/>
    </row>
    <row r="390" spans="1:12" ht="15.75" thickBot="1">
      <c r="A390" s="3"/>
      <c r="B390" s="3"/>
      <c r="C390" s="3"/>
      <c r="D390" s="2"/>
      <c r="E390" s="12"/>
      <c r="F390" s="12"/>
      <c r="G390" s="3"/>
      <c r="H390" s="4"/>
      <c r="I390" s="4"/>
      <c r="J390" s="4"/>
      <c r="K390" s="4"/>
      <c r="L390" s="3"/>
    </row>
    <row r="391" spans="1:12" ht="15.75" thickBot="1">
      <c r="A391" s="3"/>
      <c r="B391" s="3"/>
      <c r="C391" s="3"/>
      <c r="D391" s="2"/>
      <c r="E391" s="12"/>
      <c r="F391" s="12"/>
      <c r="G391" s="3"/>
      <c r="H391" s="4"/>
      <c r="I391" s="4"/>
      <c r="J391" s="4"/>
      <c r="K391" s="4"/>
      <c r="L391" s="3"/>
    </row>
    <row r="392" spans="1:12" ht="15.75" thickBot="1">
      <c r="A392" s="3"/>
      <c r="B392" s="3"/>
      <c r="C392" s="3"/>
      <c r="D392" s="2"/>
      <c r="E392" s="12"/>
      <c r="F392" s="12"/>
      <c r="G392" s="3"/>
      <c r="H392" s="4"/>
      <c r="I392" s="4"/>
      <c r="J392" s="4"/>
      <c r="K392" s="4"/>
      <c r="L392" s="3"/>
    </row>
    <row r="393" spans="1:12" ht="15.75" thickBot="1">
      <c r="A393" s="3"/>
      <c r="B393" s="3"/>
      <c r="C393" s="3"/>
      <c r="D393" s="2"/>
      <c r="E393" s="12"/>
      <c r="F393" s="12"/>
      <c r="G393" s="3"/>
      <c r="H393" s="4"/>
      <c r="I393" s="4"/>
      <c r="J393" s="4"/>
      <c r="K393" s="4"/>
      <c r="L393" s="3"/>
    </row>
    <row r="394" spans="1:12" ht="15.75" thickBot="1">
      <c r="A394" s="3"/>
      <c r="B394" s="3"/>
      <c r="C394" s="3"/>
      <c r="D394" s="2"/>
      <c r="E394" s="12"/>
      <c r="F394" s="12"/>
      <c r="G394" s="3"/>
      <c r="H394" s="4"/>
      <c r="I394" s="4"/>
      <c r="J394" s="4"/>
      <c r="K394" s="4"/>
      <c r="L394" s="3"/>
    </row>
    <row r="395" spans="1:12" ht="15.75" thickBot="1">
      <c r="A395" s="3"/>
      <c r="B395" s="3"/>
      <c r="C395" s="3"/>
      <c r="D395" s="2"/>
      <c r="E395" s="12"/>
      <c r="F395" s="12"/>
      <c r="G395" s="3"/>
      <c r="H395" s="4"/>
      <c r="I395" s="4"/>
      <c r="J395" s="4"/>
      <c r="K395" s="4"/>
      <c r="L395" s="3"/>
    </row>
    <row r="396" spans="1:12" ht="15.75" thickBot="1">
      <c r="A396" s="3"/>
      <c r="B396" s="3"/>
      <c r="C396" s="3"/>
      <c r="D396" s="2"/>
      <c r="E396" s="12"/>
      <c r="F396" s="12"/>
      <c r="G396" s="3"/>
      <c r="H396" s="4"/>
      <c r="I396" s="4"/>
      <c r="J396" s="4"/>
      <c r="K396" s="4"/>
      <c r="L396" s="3"/>
    </row>
    <row r="397" spans="1:12" ht="15.75" thickBot="1">
      <c r="A397" s="3"/>
      <c r="B397" s="3"/>
      <c r="C397" s="3"/>
      <c r="D397" s="2"/>
      <c r="E397" s="12"/>
      <c r="F397" s="12"/>
      <c r="G397" s="3"/>
      <c r="H397" s="4"/>
      <c r="I397" s="4"/>
      <c r="J397" s="4"/>
      <c r="K397" s="4"/>
      <c r="L397" s="3"/>
    </row>
    <row r="398" spans="1:12" ht="15.75" thickBot="1">
      <c r="A398" s="3"/>
      <c r="B398" s="3"/>
      <c r="C398" s="3"/>
      <c r="D398" s="2"/>
      <c r="E398" s="12"/>
      <c r="F398" s="12"/>
      <c r="G398" s="3"/>
      <c r="H398" s="4"/>
      <c r="I398" s="4"/>
      <c r="J398" s="4"/>
      <c r="K398" s="4"/>
      <c r="L398" s="3"/>
    </row>
    <row r="399" spans="1:12" ht="15.75" thickBot="1">
      <c r="A399" s="3"/>
      <c r="B399" s="3"/>
      <c r="C399" s="3"/>
      <c r="D399" s="2"/>
      <c r="E399" s="12"/>
      <c r="F399" s="12"/>
      <c r="G399" s="3"/>
      <c r="H399" s="4"/>
      <c r="I399" s="4"/>
      <c r="J399" s="4"/>
      <c r="K399" s="4"/>
      <c r="L399" s="3"/>
    </row>
    <row r="400" spans="1:12" ht="15.75" thickBot="1">
      <c r="A400" s="3"/>
      <c r="B400" s="3"/>
      <c r="C400" s="3"/>
      <c r="D400" s="2"/>
      <c r="E400" s="12"/>
      <c r="F400" s="12"/>
      <c r="G400" s="3"/>
      <c r="H400" s="4"/>
      <c r="I400" s="4"/>
      <c r="J400" s="4"/>
      <c r="K400" s="4"/>
      <c r="L400" s="3"/>
    </row>
    <row r="401" spans="1:12" ht="15.75" thickBot="1">
      <c r="A401" s="3"/>
      <c r="B401" s="3"/>
      <c r="C401" s="3"/>
      <c r="D401" s="2"/>
      <c r="E401" s="12"/>
      <c r="F401" s="12"/>
      <c r="G401" s="3"/>
      <c r="H401" s="4"/>
      <c r="I401" s="4"/>
      <c r="J401" s="4"/>
      <c r="K401" s="4"/>
      <c r="L401" s="3"/>
    </row>
    <row r="402" spans="1:12" ht="15.75" thickBot="1">
      <c r="A402" s="3"/>
      <c r="B402" s="3"/>
      <c r="C402" s="3"/>
      <c r="D402" s="2"/>
      <c r="E402" s="12"/>
      <c r="F402" s="12"/>
      <c r="G402" s="3"/>
      <c r="H402" s="4"/>
      <c r="I402" s="4"/>
      <c r="J402" s="4"/>
      <c r="K402" s="4"/>
      <c r="L402" s="3"/>
    </row>
    <row r="403" spans="1:12" ht="15.75" thickBot="1">
      <c r="A403" s="3"/>
      <c r="B403" s="3"/>
      <c r="C403" s="3"/>
      <c r="D403" s="2"/>
      <c r="E403" s="12"/>
      <c r="F403" s="12"/>
      <c r="G403" s="3"/>
      <c r="H403" s="4"/>
      <c r="I403" s="4"/>
      <c r="J403" s="4"/>
      <c r="K403" s="4"/>
      <c r="L403" s="3"/>
    </row>
    <row r="404" spans="1:12" ht="15.75" thickBot="1">
      <c r="A404" s="3"/>
      <c r="B404" s="3"/>
      <c r="C404" s="3"/>
      <c r="D404" s="2"/>
      <c r="E404" s="12"/>
      <c r="F404" s="12"/>
      <c r="G404" s="3"/>
      <c r="H404" s="4"/>
      <c r="I404" s="4"/>
      <c r="J404" s="4"/>
      <c r="K404" s="4"/>
      <c r="L404" s="3"/>
    </row>
    <row r="405" spans="1:12" ht="15.75" thickBot="1">
      <c r="A405" s="3"/>
      <c r="B405" s="3"/>
      <c r="C405" s="3"/>
      <c r="D405" s="2"/>
      <c r="E405" s="12"/>
      <c r="F405" s="12"/>
      <c r="G405" s="3"/>
      <c r="H405" s="4"/>
      <c r="I405" s="4"/>
      <c r="J405" s="4"/>
      <c r="K405" s="4"/>
      <c r="L405" s="3"/>
    </row>
    <row r="406" spans="1:12" ht="15.75" thickBot="1">
      <c r="A406" s="3"/>
      <c r="B406" s="3"/>
      <c r="C406" s="3"/>
      <c r="D406" s="2"/>
      <c r="E406" s="12"/>
      <c r="F406" s="12"/>
      <c r="G406" s="3"/>
      <c r="H406" s="4"/>
      <c r="I406" s="4"/>
      <c r="J406" s="4"/>
      <c r="K406" s="4"/>
      <c r="L406" s="3"/>
    </row>
    <row r="407" spans="1:12" ht="15.75" thickBot="1">
      <c r="A407" s="3"/>
      <c r="B407" s="3"/>
      <c r="C407" s="3"/>
      <c r="D407" s="2"/>
      <c r="E407" s="12"/>
      <c r="F407" s="12"/>
      <c r="G407" s="3"/>
      <c r="H407" s="4"/>
      <c r="I407" s="4"/>
      <c r="J407" s="4"/>
      <c r="K407" s="4"/>
      <c r="L407" s="3"/>
    </row>
    <row r="408" spans="1:12" ht="15.75" thickBot="1">
      <c r="A408" s="3"/>
      <c r="B408" s="3"/>
      <c r="C408" s="3"/>
      <c r="D408" s="2"/>
      <c r="E408" s="12"/>
      <c r="F408" s="12"/>
      <c r="G408" s="3"/>
      <c r="H408" s="4"/>
      <c r="I408" s="4"/>
      <c r="J408" s="4"/>
      <c r="K408" s="4"/>
      <c r="L408" s="3"/>
    </row>
    <row r="409" spans="1:12" ht="15.75" thickBot="1">
      <c r="A409" s="3"/>
      <c r="B409" s="3"/>
      <c r="C409" s="3"/>
      <c r="D409" s="2"/>
      <c r="E409" s="12"/>
      <c r="F409" s="12"/>
      <c r="G409" s="3"/>
      <c r="H409" s="4"/>
      <c r="I409" s="4"/>
      <c r="J409" s="4"/>
      <c r="K409" s="4"/>
      <c r="L409" s="3"/>
    </row>
    <row r="410" spans="1:12" ht="15.75" thickBot="1">
      <c r="A410" s="3"/>
      <c r="B410" s="3"/>
      <c r="C410" s="3"/>
      <c r="D410" s="2"/>
      <c r="E410" s="12"/>
      <c r="F410" s="12"/>
      <c r="G410" s="3"/>
      <c r="H410" s="4"/>
      <c r="I410" s="4"/>
      <c r="J410" s="4"/>
      <c r="K410" s="4"/>
      <c r="L410" s="3"/>
    </row>
    <row r="411" spans="1:12" ht="15.75" thickBot="1">
      <c r="A411" s="3"/>
      <c r="B411" s="3"/>
      <c r="C411" s="3"/>
      <c r="D411" s="2"/>
      <c r="E411" s="12"/>
      <c r="F411" s="12"/>
      <c r="G411" s="3"/>
      <c r="H411" s="4"/>
      <c r="I411" s="4"/>
      <c r="J411" s="4"/>
      <c r="K411" s="4"/>
      <c r="L411" s="3"/>
    </row>
    <row r="412" spans="1:12" ht="15.75" thickBot="1">
      <c r="A412" s="3"/>
      <c r="B412" s="3"/>
      <c r="C412" s="3"/>
      <c r="D412" s="2"/>
      <c r="E412" s="12"/>
      <c r="F412" s="12"/>
      <c r="G412" s="3"/>
      <c r="H412" s="4"/>
      <c r="I412" s="4"/>
      <c r="J412" s="4"/>
      <c r="K412" s="4"/>
      <c r="L412" s="3"/>
    </row>
    <row r="413" spans="1:12" ht="15.75" thickBot="1">
      <c r="A413" s="3"/>
      <c r="B413" s="3"/>
      <c r="C413" s="3"/>
      <c r="D413" s="2"/>
      <c r="E413" s="12"/>
      <c r="F413" s="12"/>
      <c r="G413" s="3"/>
      <c r="H413" s="4"/>
      <c r="I413" s="4"/>
      <c r="J413" s="4"/>
      <c r="K413" s="4"/>
      <c r="L413" s="3"/>
    </row>
    <row r="414" spans="1:12" ht="15.75" thickBot="1">
      <c r="A414" s="3"/>
      <c r="B414" s="3"/>
      <c r="C414" s="3"/>
      <c r="D414" s="2"/>
      <c r="E414" s="12"/>
      <c r="F414" s="12"/>
      <c r="G414" s="3"/>
      <c r="H414" s="4"/>
      <c r="I414" s="4"/>
      <c r="J414" s="4"/>
      <c r="K414" s="4"/>
      <c r="L414" s="3"/>
    </row>
    <row r="415" spans="1:12" ht="15.75" thickBot="1">
      <c r="A415" s="3"/>
      <c r="B415" s="3"/>
      <c r="C415" s="3"/>
      <c r="D415" s="2"/>
      <c r="E415" s="12"/>
      <c r="F415" s="12"/>
      <c r="G415" s="3"/>
      <c r="H415" s="4"/>
      <c r="I415" s="4"/>
      <c r="J415" s="4"/>
      <c r="K415" s="4"/>
      <c r="L415" s="3"/>
    </row>
    <row r="416" spans="1:12" ht="15.75" thickBot="1">
      <c r="A416" s="3"/>
      <c r="B416" s="3"/>
      <c r="C416" s="3"/>
      <c r="D416" s="2"/>
      <c r="E416" s="12"/>
      <c r="F416" s="12"/>
      <c r="G416" s="3"/>
      <c r="H416" s="4"/>
      <c r="I416" s="4"/>
      <c r="J416" s="4"/>
      <c r="K416" s="4"/>
      <c r="L416" s="3"/>
    </row>
    <row r="417" spans="1:12" ht="15.75" thickBot="1">
      <c r="A417" s="3"/>
      <c r="B417" s="3"/>
      <c r="C417" s="3"/>
      <c r="D417" s="2"/>
      <c r="E417" s="12"/>
      <c r="F417" s="12"/>
      <c r="G417" s="3"/>
      <c r="H417" s="4"/>
      <c r="I417" s="4"/>
      <c r="J417" s="4"/>
      <c r="K417" s="4"/>
      <c r="L417" s="3"/>
    </row>
    <row r="418" spans="1:12" ht="15.75" thickBot="1">
      <c r="A418" s="3"/>
      <c r="B418" s="3"/>
      <c r="C418" s="3"/>
      <c r="D418" s="2"/>
      <c r="E418" s="12"/>
      <c r="F418" s="12"/>
      <c r="G418" s="3"/>
      <c r="H418" s="4"/>
      <c r="I418" s="4"/>
      <c r="J418" s="4"/>
      <c r="K418" s="4"/>
      <c r="L418" s="3"/>
    </row>
    <row r="419" spans="1:12" ht="15.75" thickBot="1">
      <c r="A419" s="3"/>
      <c r="B419" s="3"/>
      <c r="C419" s="3"/>
      <c r="D419" s="2"/>
      <c r="E419" s="12"/>
      <c r="F419" s="12"/>
      <c r="G419" s="3"/>
      <c r="H419" s="4"/>
      <c r="I419" s="4"/>
      <c r="J419" s="4"/>
      <c r="K419" s="4"/>
      <c r="L419" s="3"/>
    </row>
    <row r="420" spans="1:12" ht="15.75" thickBot="1">
      <c r="A420" s="3"/>
      <c r="B420" s="3"/>
      <c r="C420" s="3"/>
      <c r="D420" s="2"/>
      <c r="E420" s="12"/>
      <c r="F420" s="12"/>
      <c r="G420" s="3"/>
      <c r="H420" s="4"/>
      <c r="I420" s="4"/>
      <c r="J420" s="4"/>
      <c r="K420" s="4"/>
      <c r="L420" s="3"/>
    </row>
    <row r="421" spans="1:12" ht="15.75" thickBot="1">
      <c r="A421" s="3"/>
      <c r="B421" s="3"/>
      <c r="C421" s="3"/>
      <c r="D421" s="2"/>
      <c r="E421" s="12"/>
      <c r="F421" s="12"/>
      <c r="G421" s="3"/>
      <c r="H421" s="4"/>
      <c r="I421" s="4"/>
      <c r="J421" s="4"/>
      <c r="K421" s="4"/>
      <c r="L421" s="3"/>
    </row>
    <row r="422" spans="1:12" ht="15.75" thickBot="1">
      <c r="A422" s="3"/>
      <c r="B422" s="3"/>
      <c r="C422" s="3"/>
      <c r="D422" s="2"/>
      <c r="E422" s="12"/>
      <c r="F422" s="12"/>
      <c r="G422" s="3"/>
      <c r="H422" s="4"/>
      <c r="I422" s="4"/>
      <c r="J422" s="4"/>
      <c r="K422" s="4"/>
      <c r="L422" s="3"/>
    </row>
    <row r="423" spans="1:12" ht="15.75" thickBot="1">
      <c r="A423" s="3"/>
      <c r="B423" s="3"/>
      <c r="C423" s="3"/>
      <c r="D423" s="2"/>
      <c r="E423" s="12"/>
      <c r="F423" s="12"/>
      <c r="G423" s="3"/>
      <c r="H423" s="4"/>
      <c r="I423" s="4"/>
      <c r="J423" s="4"/>
      <c r="K423" s="4"/>
      <c r="L423" s="3"/>
    </row>
    <row r="424" spans="1:12" ht="15.75" thickBot="1">
      <c r="A424" s="3"/>
      <c r="B424" s="3"/>
      <c r="C424" s="3"/>
      <c r="D424" s="2"/>
      <c r="E424" s="12"/>
      <c r="F424" s="12"/>
      <c r="G424" s="3"/>
      <c r="H424" s="4"/>
      <c r="I424" s="4"/>
      <c r="J424" s="4"/>
      <c r="K424" s="4"/>
      <c r="L424" s="3"/>
    </row>
    <row r="425" spans="1:12" ht="15.75" thickBot="1">
      <c r="A425" s="3"/>
      <c r="B425" s="3"/>
      <c r="C425" s="3"/>
      <c r="D425" s="2"/>
      <c r="E425" s="12"/>
      <c r="F425" s="12"/>
      <c r="G425" s="3"/>
      <c r="H425" s="4"/>
      <c r="I425" s="4"/>
      <c r="J425" s="4"/>
      <c r="K425" s="4"/>
      <c r="L425" s="3"/>
    </row>
    <row r="426" spans="1:12" ht="15.75" thickBot="1">
      <c r="A426" s="3"/>
      <c r="B426" s="3"/>
      <c r="C426" s="3"/>
      <c r="D426" s="2"/>
      <c r="E426" s="12"/>
      <c r="F426" s="12"/>
      <c r="G426" s="3"/>
      <c r="H426" s="4"/>
      <c r="I426" s="4"/>
      <c r="J426" s="4"/>
      <c r="K426" s="4"/>
      <c r="L426" s="3"/>
    </row>
    <row r="427" spans="1:12" ht="15.75" thickBot="1">
      <c r="A427" s="3"/>
      <c r="B427" s="3"/>
      <c r="C427" s="3"/>
      <c r="D427" s="2"/>
      <c r="E427" s="12"/>
      <c r="F427" s="12"/>
      <c r="G427" s="3"/>
      <c r="H427" s="4"/>
      <c r="I427" s="4"/>
      <c r="J427" s="4"/>
      <c r="K427" s="4"/>
      <c r="L427" s="3"/>
    </row>
    <row r="428" spans="1:12" ht="15.75" thickBot="1">
      <c r="A428" s="3"/>
      <c r="B428" s="3"/>
      <c r="C428" s="3"/>
      <c r="D428" s="2"/>
      <c r="E428" s="12"/>
      <c r="F428" s="12"/>
      <c r="G428" s="3"/>
      <c r="H428" s="4"/>
      <c r="I428" s="4"/>
      <c r="J428" s="4"/>
      <c r="K428" s="4"/>
      <c r="L428" s="3"/>
    </row>
    <row r="429" spans="1:12" ht="15.75" thickBot="1">
      <c r="A429" s="3"/>
      <c r="B429" s="3"/>
      <c r="C429" s="3"/>
      <c r="D429" s="2"/>
      <c r="E429" s="12"/>
      <c r="F429" s="12"/>
      <c r="G429" s="3"/>
      <c r="H429" s="4"/>
      <c r="I429" s="4"/>
      <c r="J429" s="4"/>
      <c r="K429" s="4"/>
      <c r="L429" s="3"/>
    </row>
    <row r="430" spans="1:12" ht="15.75" thickBot="1">
      <c r="A430" s="3"/>
      <c r="B430" s="3"/>
      <c r="C430" s="3"/>
      <c r="D430" s="2"/>
      <c r="E430" s="12"/>
      <c r="F430" s="12"/>
      <c r="G430" s="3"/>
      <c r="H430" s="4"/>
      <c r="I430" s="4"/>
      <c r="J430" s="4"/>
      <c r="K430" s="4"/>
      <c r="L430" s="3"/>
    </row>
    <row r="431" spans="1:12" ht="15.75" thickBot="1">
      <c r="A431" s="3"/>
      <c r="B431" s="3"/>
      <c r="C431" s="3"/>
      <c r="D431" s="2"/>
      <c r="E431" s="12"/>
      <c r="F431" s="12"/>
      <c r="G431" s="3"/>
      <c r="H431" s="4"/>
      <c r="I431" s="4"/>
      <c r="J431" s="4"/>
      <c r="K431" s="4"/>
      <c r="L431" s="3"/>
    </row>
    <row r="432" spans="1:12" ht="15.75" thickBot="1">
      <c r="A432" s="3"/>
      <c r="B432" s="3"/>
      <c r="C432" s="3"/>
      <c r="D432" s="2"/>
      <c r="E432" s="12"/>
      <c r="F432" s="12"/>
      <c r="G432" s="3"/>
      <c r="H432" s="4"/>
      <c r="I432" s="4"/>
      <c r="J432" s="4"/>
      <c r="K432" s="4"/>
      <c r="L432" s="3"/>
    </row>
    <row r="433" spans="1:12" ht="15.75" thickBot="1">
      <c r="A433" s="3"/>
      <c r="B433" s="3"/>
      <c r="C433" s="3"/>
      <c r="D433" s="2"/>
      <c r="E433" s="12"/>
      <c r="F433" s="12"/>
      <c r="G433" s="3"/>
      <c r="H433" s="4"/>
      <c r="I433" s="4"/>
      <c r="J433" s="4"/>
      <c r="K433" s="4"/>
      <c r="L433" s="3"/>
    </row>
    <row r="434" spans="1:12" ht="15.75" thickBot="1">
      <c r="A434" s="3"/>
      <c r="B434" s="3"/>
      <c r="C434" s="3"/>
      <c r="D434" s="2"/>
      <c r="E434" s="12"/>
      <c r="F434" s="12"/>
      <c r="G434" s="3"/>
      <c r="H434" s="4"/>
      <c r="I434" s="4"/>
      <c r="J434" s="4"/>
      <c r="K434" s="4"/>
      <c r="L434" s="3"/>
    </row>
    <row r="435" spans="1:12" ht="15.75" thickBot="1">
      <c r="A435" s="3"/>
      <c r="B435" s="3"/>
      <c r="C435" s="3"/>
      <c r="D435" s="2"/>
      <c r="E435" s="12"/>
      <c r="F435" s="12"/>
      <c r="G435" s="3"/>
      <c r="H435" s="4"/>
      <c r="I435" s="4"/>
      <c r="J435" s="4"/>
      <c r="K435" s="4"/>
      <c r="L435" s="3"/>
    </row>
    <row r="436" spans="1:12" ht="15.75" thickBot="1">
      <c r="A436" s="3"/>
      <c r="B436" s="3"/>
      <c r="C436" s="3"/>
      <c r="D436" s="2"/>
      <c r="E436" s="12"/>
      <c r="F436" s="12"/>
      <c r="G436" s="3"/>
      <c r="H436" s="4"/>
      <c r="I436" s="4"/>
      <c r="J436" s="4"/>
      <c r="K436" s="4"/>
      <c r="L436" s="3"/>
    </row>
    <row r="437" spans="1:12" ht="15.75" thickBot="1">
      <c r="A437" s="3"/>
      <c r="B437" s="3"/>
      <c r="C437" s="3"/>
      <c r="D437" s="2"/>
      <c r="E437" s="12"/>
      <c r="F437" s="12"/>
      <c r="G437" s="3"/>
      <c r="H437" s="4"/>
      <c r="I437" s="4"/>
      <c r="J437" s="4"/>
      <c r="K437" s="4"/>
      <c r="L437" s="3"/>
    </row>
    <row r="438" spans="1:12" ht="15.75" thickBot="1">
      <c r="A438" s="3"/>
      <c r="B438" s="3"/>
      <c r="C438" s="3"/>
      <c r="D438" s="2"/>
      <c r="E438" s="12"/>
      <c r="F438" s="12"/>
      <c r="G438" s="3"/>
      <c r="H438" s="4"/>
      <c r="I438" s="4"/>
      <c r="J438" s="4"/>
      <c r="K438" s="4"/>
      <c r="L438" s="3"/>
    </row>
    <row r="439" spans="1:12" ht="15.75" thickBot="1">
      <c r="A439" s="3"/>
      <c r="B439" s="3"/>
      <c r="C439" s="3"/>
      <c r="D439" s="2"/>
      <c r="E439" s="12"/>
      <c r="F439" s="12"/>
      <c r="G439" s="3"/>
      <c r="H439" s="4"/>
      <c r="I439" s="4"/>
      <c r="J439" s="4"/>
      <c r="K439" s="4"/>
      <c r="L439" s="3"/>
    </row>
    <row r="440" spans="1:12" ht="15.75" thickBot="1">
      <c r="A440" s="3"/>
      <c r="B440" s="3"/>
      <c r="C440" s="3"/>
      <c r="D440" s="2"/>
      <c r="E440" s="12"/>
      <c r="F440" s="12"/>
      <c r="G440" s="3"/>
      <c r="H440" s="4"/>
      <c r="I440" s="4"/>
      <c r="J440" s="4"/>
      <c r="K440" s="4"/>
      <c r="L440" s="3"/>
    </row>
    <row r="441" spans="1:12" ht="15.75" thickBot="1">
      <c r="A441" s="3"/>
      <c r="B441" s="3"/>
      <c r="C441" s="3"/>
      <c r="D441" s="2"/>
      <c r="E441" s="12"/>
      <c r="F441" s="12"/>
      <c r="G441" s="3"/>
      <c r="H441" s="4"/>
      <c r="I441" s="4"/>
      <c r="J441" s="4"/>
      <c r="K441" s="4"/>
      <c r="L441" s="3"/>
    </row>
    <row r="442" spans="1:12" ht="15.75" thickBot="1">
      <c r="A442" s="3"/>
      <c r="B442" s="3"/>
      <c r="C442" s="3"/>
      <c r="D442" s="2"/>
      <c r="E442" s="12"/>
      <c r="F442" s="12"/>
      <c r="G442" s="3"/>
      <c r="H442" s="4"/>
      <c r="I442" s="4"/>
      <c r="J442" s="4"/>
      <c r="K442" s="4"/>
      <c r="L442" s="3"/>
    </row>
    <row r="443" spans="1:12" ht="15.75" thickBot="1">
      <c r="A443" s="3"/>
      <c r="B443" s="3"/>
      <c r="C443" s="3"/>
      <c r="D443" s="2"/>
      <c r="E443" s="12"/>
      <c r="F443" s="12"/>
      <c r="G443" s="3"/>
      <c r="H443" s="4"/>
      <c r="I443" s="4"/>
      <c r="J443" s="4"/>
      <c r="K443" s="4"/>
      <c r="L443" s="3"/>
    </row>
    <row r="444" spans="1:12" ht="15.75" thickBot="1">
      <c r="A444" s="3"/>
      <c r="B444" s="3"/>
      <c r="C444" s="3"/>
      <c r="D444" s="2"/>
      <c r="E444" s="12"/>
      <c r="F444" s="12"/>
      <c r="G444" s="3"/>
      <c r="H444" s="4"/>
      <c r="I444" s="4"/>
      <c r="J444" s="4"/>
      <c r="K444" s="4"/>
      <c r="L444" s="3"/>
    </row>
    <row r="445" spans="1:12" ht="15.75" thickBot="1">
      <c r="A445" s="3"/>
      <c r="B445" s="3"/>
      <c r="C445" s="3"/>
      <c r="D445" s="2"/>
      <c r="E445" s="12"/>
      <c r="F445" s="12"/>
      <c r="G445" s="3"/>
      <c r="H445" s="4"/>
      <c r="I445" s="4"/>
      <c r="J445" s="4"/>
      <c r="K445" s="4"/>
      <c r="L445" s="3"/>
    </row>
    <row r="446" spans="1:12" ht="15.75" thickBot="1">
      <c r="A446" s="3"/>
      <c r="B446" s="3"/>
      <c r="C446" s="3"/>
      <c r="D446" s="2"/>
      <c r="E446" s="12"/>
      <c r="F446" s="12"/>
      <c r="G446" s="3"/>
      <c r="H446" s="4"/>
      <c r="I446" s="4"/>
      <c r="J446" s="4"/>
      <c r="K446" s="4"/>
      <c r="L446" s="3"/>
    </row>
    <row r="447" spans="1:12" ht="15.75" thickBot="1">
      <c r="A447" s="3"/>
      <c r="B447" s="3"/>
      <c r="C447" s="3"/>
      <c r="D447" s="2"/>
      <c r="E447" s="12"/>
      <c r="F447" s="12"/>
      <c r="G447" s="3"/>
      <c r="H447" s="4"/>
      <c r="I447" s="4"/>
      <c r="J447" s="4"/>
      <c r="K447" s="4"/>
      <c r="L447" s="3"/>
    </row>
    <row r="448" spans="1:12" ht="15.75" thickBot="1">
      <c r="A448" s="3"/>
      <c r="B448" s="3"/>
      <c r="C448" s="3"/>
      <c r="D448" s="2"/>
      <c r="E448" s="12"/>
      <c r="F448" s="12"/>
      <c r="G448" s="3"/>
      <c r="H448" s="4"/>
      <c r="I448" s="4"/>
      <c r="J448" s="4"/>
      <c r="K448" s="4"/>
      <c r="L448" s="3"/>
    </row>
    <row r="449" spans="1:12" ht="15.75" thickBot="1">
      <c r="A449" s="3"/>
      <c r="B449" s="3"/>
      <c r="C449" s="3"/>
      <c r="D449" s="2"/>
      <c r="E449" s="12"/>
      <c r="F449" s="12"/>
      <c r="G449" s="3"/>
      <c r="H449" s="4"/>
      <c r="I449" s="4"/>
      <c r="J449" s="4"/>
      <c r="K449" s="4"/>
      <c r="L449" s="3"/>
    </row>
    <row r="450" spans="1:12" ht="15.75" thickBot="1">
      <c r="A450" s="3"/>
      <c r="B450" s="3"/>
      <c r="C450" s="3"/>
      <c r="D450" s="2"/>
      <c r="E450" s="12"/>
      <c r="F450" s="12"/>
      <c r="G450" s="3"/>
      <c r="H450" s="4"/>
      <c r="I450" s="4"/>
      <c r="J450" s="4"/>
      <c r="K450" s="4"/>
      <c r="L450" s="3"/>
    </row>
    <row r="451" spans="1:12" ht="15.75" thickBot="1">
      <c r="A451" s="3"/>
      <c r="B451" s="3"/>
      <c r="C451" s="3"/>
      <c r="D451" s="2"/>
      <c r="E451" s="12"/>
      <c r="F451" s="12"/>
      <c r="G451" s="3"/>
      <c r="H451" s="4"/>
      <c r="I451" s="4"/>
      <c r="J451" s="4"/>
      <c r="K451" s="4"/>
      <c r="L451" s="3"/>
    </row>
    <row r="452" spans="1:12" ht="15.75" thickBot="1">
      <c r="A452" s="3"/>
      <c r="B452" s="3"/>
      <c r="C452" s="3"/>
      <c r="D452" s="2"/>
      <c r="E452" s="12"/>
      <c r="F452" s="12"/>
      <c r="G452" s="3"/>
      <c r="H452" s="4"/>
      <c r="I452" s="4"/>
      <c r="J452" s="4"/>
      <c r="K452" s="4"/>
      <c r="L452" s="3"/>
    </row>
    <row r="453" spans="1:12" ht="15.75" thickBot="1">
      <c r="A453" s="3"/>
      <c r="B453" s="3"/>
      <c r="C453" s="3"/>
      <c r="D453" s="2"/>
      <c r="E453" s="12"/>
      <c r="F453" s="12"/>
      <c r="G453" s="3"/>
      <c r="H453" s="4"/>
      <c r="I453" s="4"/>
      <c r="J453" s="4"/>
      <c r="K453" s="4"/>
      <c r="L453" s="3"/>
    </row>
    <row r="454" spans="1:12" ht="15.75" thickBot="1">
      <c r="A454" s="3"/>
      <c r="B454" s="3"/>
      <c r="C454" s="3"/>
      <c r="D454" s="2"/>
      <c r="E454" s="12"/>
      <c r="F454" s="12"/>
      <c r="G454" s="3"/>
      <c r="H454" s="4"/>
      <c r="I454" s="4"/>
      <c r="J454" s="4"/>
      <c r="K454" s="4"/>
      <c r="L454" s="3"/>
    </row>
    <row r="455" spans="1:12" ht="15.75" thickBot="1">
      <c r="A455" s="3"/>
      <c r="B455" s="3"/>
      <c r="C455" s="3"/>
      <c r="D455" s="2"/>
      <c r="E455" s="12"/>
      <c r="F455" s="12"/>
      <c r="G455" s="3"/>
      <c r="H455" s="4"/>
      <c r="I455" s="4"/>
      <c r="J455" s="4"/>
      <c r="K455" s="4"/>
      <c r="L455" s="3"/>
    </row>
    <row r="456" spans="1:12" ht="15.75" thickBot="1">
      <c r="A456" s="3"/>
      <c r="B456" s="3"/>
      <c r="C456" s="3"/>
      <c r="D456" s="2"/>
      <c r="E456" s="12"/>
      <c r="F456" s="12"/>
      <c r="G456" s="3"/>
      <c r="H456" s="4"/>
      <c r="I456" s="4"/>
      <c r="J456" s="4"/>
      <c r="K456" s="4"/>
      <c r="L456" s="3"/>
    </row>
    <row r="457" spans="1:12" ht="15.75" thickBot="1">
      <c r="A457" s="3"/>
      <c r="B457" s="3"/>
      <c r="C457" s="3"/>
      <c r="D457" s="2"/>
      <c r="E457" s="12"/>
      <c r="F457" s="12"/>
      <c r="G457" s="3"/>
      <c r="H457" s="4"/>
      <c r="I457" s="4"/>
      <c r="J457" s="4"/>
      <c r="K457" s="4"/>
      <c r="L457" s="3"/>
    </row>
    <row r="458" spans="1:12" ht="15.75" thickBot="1">
      <c r="A458" s="3"/>
      <c r="B458" s="3"/>
      <c r="C458" s="3"/>
      <c r="D458" s="2"/>
      <c r="E458" s="12"/>
      <c r="F458" s="12"/>
      <c r="G458" s="3"/>
      <c r="H458" s="4"/>
      <c r="I458" s="4"/>
      <c r="J458" s="4"/>
      <c r="K458" s="4"/>
      <c r="L458" s="3"/>
    </row>
    <row r="459" spans="1:12" ht="15.75" thickBot="1">
      <c r="A459" s="3"/>
      <c r="B459" s="3"/>
      <c r="C459" s="3"/>
      <c r="D459" s="2"/>
      <c r="E459" s="12"/>
      <c r="F459" s="12"/>
      <c r="G459" s="3"/>
      <c r="H459" s="4"/>
      <c r="I459" s="4"/>
      <c r="J459" s="4"/>
      <c r="K459" s="4"/>
      <c r="L459" s="3"/>
    </row>
    <row r="460" spans="1:12" ht="15.75" thickBot="1">
      <c r="A460" s="3"/>
      <c r="B460" s="3"/>
      <c r="C460" s="3"/>
      <c r="D460" s="2"/>
      <c r="E460" s="12"/>
      <c r="F460" s="12"/>
      <c r="G460" s="3"/>
      <c r="H460" s="4"/>
      <c r="I460" s="4"/>
      <c r="J460" s="4"/>
      <c r="K460" s="4"/>
      <c r="L460" s="3"/>
    </row>
    <row r="461" spans="1:12" ht="15.75" thickBot="1">
      <c r="A461" s="3"/>
      <c r="B461" s="3"/>
      <c r="C461" s="3"/>
      <c r="D461" s="2"/>
      <c r="E461" s="12"/>
      <c r="F461" s="12"/>
      <c r="G461" s="3"/>
      <c r="H461" s="4"/>
      <c r="I461" s="4"/>
      <c r="J461" s="4"/>
      <c r="K461" s="4"/>
      <c r="L461" s="3"/>
    </row>
    <row r="462" spans="1:12" ht="15.75" thickBot="1">
      <c r="A462" s="3"/>
      <c r="B462" s="3"/>
      <c r="C462" s="3"/>
      <c r="D462" s="2"/>
      <c r="E462" s="12"/>
      <c r="F462" s="12"/>
      <c r="G462" s="3"/>
      <c r="H462" s="4"/>
      <c r="I462" s="4"/>
      <c r="J462" s="4"/>
      <c r="K462" s="4"/>
      <c r="L462" s="3"/>
    </row>
    <row r="463" spans="1:12" ht="15.75" thickBot="1">
      <c r="A463" s="3"/>
      <c r="B463" s="3"/>
      <c r="C463" s="3"/>
      <c r="D463" s="2"/>
      <c r="E463" s="12"/>
      <c r="F463" s="12"/>
      <c r="G463" s="3"/>
      <c r="H463" s="4"/>
      <c r="I463" s="4"/>
      <c r="J463" s="4"/>
      <c r="K463" s="4"/>
      <c r="L463" s="3"/>
    </row>
    <row r="464" spans="1:12" ht="15.75" thickBot="1">
      <c r="A464" s="3"/>
      <c r="B464" s="3"/>
      <c r="C464" s="3"/>
      <c r="D464" s="2"/>
      <c r="E464" s="12"/>
      <c r="F464" s="12"/>
      <c r="G464" s="3"/>
      <c r="H464" s="4"/>
      <c r="I464" s="4"/>
      <c r="J464" s="4"/>
      <c r="K464" s="4"/>
      <c r="L464" s="3"/>
    </row>
    <row r="465" spans="1:12" ht="15.75" thickBot="1">
      <c r="A465" s="3"/>
      <c r="B465" s="3"/>
      <c r="C465" s="3"/>
      <c r="D465" s="2"/>
      <c r="E465" s="12"/>
      <c r="F465" s="12"/>
      <c r="G465" s="3"/>
      <c r="H465" s="4"/>
      <c r="I465" s="4"/>
      <c r="J465" s="4"/>
      <c r="K465" s="4"/>
      <c r="L465" s="3"/>
    </row>
    <row r="466" spans="1:12" ht="15.75" thickBot="1">
      <c r="A466" s="3"/>
      <c r="B466" s="3"/>
      <c r="C466" s="3"/>
      <c r="D466" s="2"/>
      <c r="E466" s="12"/>
      <c r="F466" s="12"/>
      <c r="G466" s="3"/>
      <c r="H466" s="4"/>
      <c r="I466" s="4"/>
      <c r="J466" s="4"/>
      <c r="K466" s="4"/>
      <c r="L466" s="3"/>
    </row>
    <row r="467" spans="1:12" ht="15.75" thickBot="1">
      <c r="A467" s="3"/>
      <c r="B467" s="3"/>
      <c r="C467" s="3"/>
      <c r="D467" s="2"/>
      <c r="E467" s="12"/>
      <c r="F467" s="12"/>
      <c r="G467" s="3"/>
      <c r="H467" s="4"/>
      <c r="I467" s="4"/>
      <c r="J467" s="4"/>
      <c r="K467" s="4"/>
      <c r="L467" s="3"/>
    </row>
    <row r="468" spans="1:12" ht="15.75" thickBot="1">
      <c r="A468" s="3"/>
      <c r="B468" s="3"/>
      <c r="C468" s="3"/>
      <c r="D468" s="2"/>
      <c r="E468" s="12"/>
      <c r="F468" s="12"/>
      <c r="G468" s="3"/>
      <c r="H468" s="4"/>
      <c r="I468" s="4"/>
      <c r="J468" s="4"/>
      <c r="K468" s="4"/>
      <c r="L468" s="3"/>
    </row>
    <row r="469" spans="1:12" ht="15.75" thickBot="1">
      <c r="A469" s="3"/>
      <c r="B469" s="3"/>
      <c r="C469" s="3"/>
      <c r="D469" s="2"/>
      <c r="E469" s="12"/>
      <c r="F469" s="12"/>
      <c r="G469" s="3"/>
      <c r="H469" s="4"/>
      <c r="I469" s="4"/>
      <c r="J469" s="4"/>
      <c r="K469" s="4"/>
      <c r="L469" s="3"/>
    </row>
    <row r="470" spans="1:12" ht="15.75" thickBot="1">
      <c r="A470" s="3"/>
      <c r="B470" s="3"/>
      <c r="C470" s="3"/>
      <c r="D470" s="2"/>
      <c r="E470" s="12"/>
      <c r="F470" s="12"/>
      <c r="G470" s="3"/>
      <c r="H470" s="4"/>
      <c r="I470" s="4"/>
      <c r="J470" s="4"/>
      <c r="K470" s="4"/>
      <c r="L470" s="3"/>
    </row>
    <row r="471" spans="1:12" ht="15.75" thickBot="1">
      <c r="A471" s="3"/>
      <c r="B471" s="3"/>
      <c r="C471" s="3"/>
      <c r="D471" s="2"/>
      <c r="E471" s="12"/>
      <c r="F471" s="12"/>
      <c r="G471" s="3"/>
      <c r="H471" s="4"/>
      <c r="I471" s="4"/>
      <c r="J471" s="4"/>
      <c r="K471" s="4"/>
      <c r="L471" s="3"/>
    </row>
    <row r="472" spans="1:12" ht="15.75" thickBot="1">
      <c r="A472" s="3"/>
      <c r="B472" s="3"/>
      <c r="C472" s="3"/>
      <c r="D472" s="2"/>
      <c r="E472" s="12"/>
      <c r="F472" s="12"/>
      <c r="G472" s="3"/>
      <c r="H472" s="4"/>
      <c r="I472" s="4"/>
      <c r="J472" s="4"/>
      <c r="K472" s="4"/>
      <c r="L472" s="3"/>
    </row>
    <row r="473" spans="1:12" ht="15.75" thickBot="1">
      <c r="A473" s="3"/>
      <c r="B473" s="3"/>
      <c r="C473" s="3"/>
      <c r="D473" s="2"/>
      <c r="E473" s="12"/>
      <c r="F473" s="12"/>
      <c r="G473" s="3"/>
      <c r="H473" s="4"/>
      <c r="I473" s="4"/>
      <c r="J473" s="4"/>
      <c r="K473" s="4"/>
      <c r="L473" s="3"/>
    </row>
    <row r="474" spans="1:12" ht="15.75" thickBot="1">
      <c r="A474" s="3"/>
      <c r="B474" s="3"/>
      <c r="C474" s="3"/>
      <c r="D474" s="2"/>
      <c r="E474" s="12"/>
      <c r="F474" s="12"/>
      <c r="G474" s="3"/>
      <c r="H474" s="4"/>
      <c r="I474" s="4"/>
      <c r="J474" s="4"/>
      <c r="K474" s="4"/>
      <c r="L474" s="3"/>
    </row>
    <row r="475" spans="1:12" ht="15.75" thickBot="1">
      <c r="A475" s="3"/>
      <c r="B475" s="3"/>
      <c r="C475" s="3"/>
      <c r="D475" s="2"/>
      <c r="E475" s="12"/>
      <c r="F475" s="12"/>
      <c r="G475" s="3"/>
      <c r="H475" s="4"/>
      <c r="I475" s="4"/>
      <c r="J475" s="4"/>
      <c r="K475" s="4"/>
      <c r="L475" s="3"/>
    </row>
    <row r="476" spans="1:12" ht="15.75" thickBot="1">
      <c r="A476" s="3"/>
      <c r="B476" s="3"/>
      <c r="C476" s="3"/>
      <c r="D476" s="2"/>
      <c r="E476" s="12"/>
      <c r="F476" s="12"/>
      <c r="G476" s="3"/>
      <c r="H476" s="4"/>
      <c r="I476" s="4"/>
      <c r="J476" s="4"/>
      <c r="K476" s="4"/>
      <c r="L476" s="3"/>
    </row>
    <row r="477" spans="1:12" ht="15.75" thickBot="1">
      <c r="A477" s="3"/>
      <c r="B477" s="3"/>
      <c r="C477" s="3"/>
      <c r="D477" s="2"/>
      <c r="E477" s="12"/>
      <c r="F477" s="12"/>
      <c r="G477" s="3"/>
      <c r="H477" s="4"/>
      <c r="I477" s="4"/>
      <c r="J477" s="4"/>
      <c r="K477" s="4"/>
      <c r="L477" s="3"/>
    </row>
    <row r="478" spans="1:12" ht="15.75" thickBot="1">
      <c r="A478" s="3"/>
      <c r="B478" s="3"/>
      <c r="C478" s="3"/>
      <c r="D478" s="2"/>
      <c r="E478" s="12"/>
      <c r="F478" s="12"/>
      <c r="G478" s="3"/>
      <c r="H478" s="4"/>
      <c r="I478" s="4"/>
      <c r="J478" s="4"/>
      <c r="K478" s="4"/>
      <c r="L478" s="3"/>
    </row>
    <row r="479" spans="1:12" ht="15.75" thickBot="1">
      <c r="A479" s="3"/>
      <c r="B479" s="3"/>
      <c r="C479" s="3"/>
      <c r="D479" s="2"/>
      <c r="E479" s="12"/>
      <c r="F479" s="12"/>
      <c r="G479" s="3"/>
      <c r="H479" s="4"/>
      <c r="I479" s="4"/>
      <c r="J479" s="4"/>
      <c r="K479" s="4"/>
      <c r="L479" s="3"/>
    </row>
    <row r="480" spans="1:12" ht="15.75" thickBot="1">
      <c r="A480" s="3"/>
      <c r="B480" s="3"/>
      <c r="C480" s="3"/>
      <c r="D480" s="2"/>
      <c r="E480" s="12"/>
      <c r="F480" s="12"/>
      <c r="G480" s="3"/>
      <c r="H480" s="4"/>
      <c r="I480" s="4"/>
      <c r="J480" s="4"/>
      <c r="K480" s="4"/>
      <c r="L480" s="3"/>
    </row>
    <row r="481" spans="1:12" ht="15.75" thickBot="1">
      <c r="A481" s="3"/>
      <c r="B481" s="3"/>
      <c r="C481" s="3"/>
      <c r="D481" s="2"/>
      <c r="E481" s="12"/>
      <c r="F481" s="12"/>
      <c r="G481" s="3"/>
      <c r="H481" s="4"/>
      <c r="I481" s="4"/>
      <c r="J481" s="4"/>
      <c r="K481" s="4"/>
      <c r="L481" s="3"/>
    </row>
    <row r="482" spans="1:12" ht="15.75" thickBot="1">
      <c r="A482" s="3"/>
      <c r="B482" s="3"/>
      <c r="C482" s="3"/>
      <c r="D482" s="2"/>
      <c r="E482" s="12"/>
      <c r="F482" s="12"/>
      <c r="G482" s="3"/>
      <c r="H482" s="4"/>
      <c r="I482" s="4"/>
      <c r="J482" s="4"/>
      <c r="K482" s="4"/>
      <c r="L482" s="3"/>
    </row>
    <row r="483" spans="1:12" ht="15.75" thickBot="1">
      <c r="A483" s="3"/>
      <c r="B483" s="3"/>
      <c r="C483" s="3"/>
      <c r="D483" s="2"/>
      <c r="E483" s="12"/>
      <c r="F483" s="12"/>
      <c r="G483" s="3"/>
      <c r="H483" s="4"/>
      <c r="I483" s="4"/>
      <c r="J483" s="4"/>
      <c r="K483" s="4"/>
      <c r="L483" s="3"/>
    </row>
    <row r="484" spans="1:12" ht="15.75" thickBot="1">
      <c r="A484" s="3"/>
      <c r="B484" s="3"/>
      <c r="C484" s="3"/>
      <c r="D484" s="2"/>
      <c r="E484" s="12"/>
      <c r="F484" s="12"/>
      <c r="G484" s="3"/>
      <c r="H484" s="4"/>
      <c r="I484" s="4"/>
      <c r="J484" s="4"/>
      <c r="K484" s="4"/>
      <c r="L484" s="3"/>
    </row>
    <row r="485" spans="1:12" ht="15.75" thickBot="1">
      <c r="A485" s="3"/>
      <c r="B485" s="3"/>
      <c r="C485" s="3"/>
      <c r="D485" s="2"/>
      <c r="E485" s="12"/>
      <c r="F485" s="12"/>
      <c r="G485" s="3"/>
      <c r="H485" s="4"/>
      <c r="I485" s="4"/>
      <c r="J485" s="4"/>
      <c r="K485" s="4"/>
      <c r="L485" s="3"/>
    </row>
    <row r="486" spans="1:12" ht="15.75" thickBot="1">
      <c r="A486" s="3"/>
      <c r="B486" s="3"/>
      <c r="C486" s="3"/>
      <c r="D486" s="2"/>
      <c r="E486" s="12"/>
      <c r="F486" s="12"/>
      <c r="G486" s="3"/>
      <c r="H486" s="4"/>
      <c r="I486" s="4"/>
      <c r="J486" s="4"/>
      <c r="K486" s="4"/>
      <c r="L486" s="3"/>
    </row>
    <row r="487" spans="1:12" ht="15.75" thickBot="1">
      <c r="A487" s="3"/>
      <c r="B487" s="3"/>
      <c r="C487" s="3"/>
      <c r="D487" s="2"/>
      <c r="E487" s="12"/>
      <c r="F487" s="12"/>
      <c r="G487" s="3"/>
      <c r="H487" s="4"/>
      <c r="I487" s="4"/>
      <c r="J487" s="4"/>
      <c r="K487" s="4"/>
      <c r="L487" s="3"/>
    </row>
    <row r="488" spans="1:12" ht="15.75" thickBot="1">
      <c r="A488" s="3"/>
      <c r="B488" s="3"/>
      <c r="C488" s="3"/>
      <c r="D488" s="2"/>
      <c r="E488" s="12"/>
      <c r="F488" s="12"/>
      <c r="G488" s="3"/>
      <c r="H488" s="4"/>
      <c r="I488" s="4"/>
      <c r="J488" s="4"/>
      <c r="K488" s="4"/>
      <c r="L488" s="3"/>
    </row>
    <row r="489" spans="1:12" ht="15.75" thickBot="1">
      <c r="A489" s="3"/>
      <c r="B489" s="3"/>
      <c r="C489" s="3"/>
      <c r="D489" s="2"/>
      <c r="E489" s="12"/>
      <c r="F489" s="12"/>
      <c r="G489" s="3"/>
      <c r="H489" s="4"/>
      <c r="I489" s="4"/>
      <c r="J489" s="4"/>
      <c r="K489" s="4"/>
      <c r="L489" s="3"/>
    </row>
    <row r="490" spans="1:12" ht="15.75" thickBot="1">
      <c r="A490" s="3"/>
      <c r="B490" s="3"/>
      <c r="C490" s="3"/>
      <c r="D490" s="2"/>
      <c r="E490" s="12"/>
      <c r="F490" s="12"/>
      <c r="G490" s="3"/>
      <c r="H490" s="4"/>
      <c r="I490" s="4"/>
      <c r="J490" s="4"/>
      <c r="K490" s="4"/>
      <c r="L490" s="3"/>
    </row>
    <row r="491" spans="1:12" ht="15.75" thickBot="1">
      <c r="A491" s="3"/>
      <c r="B491" s="3"/>
      <c r="C491" s="3"/>
      <c r="D491" s="2"/>
      <c r="E491" s="12"/>
      <c r="F491" s="12"/>
      <c r="G491" s="3"/>
      <c r="H491" s="4"/>
      <c r="I491" s="4"/>
      <c r="J491" s="4"/>
      <c r="K491" s="4"/>
      <c r="L491" s="3"/>
    </row>
    <row r="492" spans="1:12" ht="15.75" thickBot="1">
      <c r="A492" s="3"/>
      <c r="B492" s="3"/>
      <c r="C492" s="3"/>
      <c r="D492" s="2"/>
      <c r="E492" s="12"/>
      <c r="F492" s="12"/>
      <c r="G492" s="3"/>
      <c r="H492" s="4"/>
      <c r="I492" s="4"/>
      <c r="J492" s="4"/>
      <c r="K492" s="4"/>
      <c r="L492" s="3"/>
    </row>
    <row r="493" spans="1:12" ht="15.75" thickBot="1">
      <c r="A493" s="3"/>
      <c r="B493" s="3"/>
      <c r="C493" s="3"/>
      <c r="D493" s="2"/>
      <c r="E493" s="12"/>
      <c r="F493" s="12"/>
      <c r="G493" s="3"/>
      <c r="H493" s="4"/>
      <c r="I493" s="4"/>
      <c r="J493" s="4"/>
      <c r="K493" s="4"/>
      <c r="L493" s="3"/>
    </row>
    <row r="494" spans="1:12" ht="15.75" thickBot="1">
      <c r="A494" s="3"/>
      <c r="B494" s="3"/>
      <c r="C494" s="3"/>
      <c r="D494" s="2"/>
      <c r="E494" s="12"/>
      <c r="F494" s="12"/>
      <c r="G494" s="3"/>
      <c r="H494" s="4"/>
      <c r="I494" s="4"/>
      <c r="J494" s="4"/>
      <c r="K494" s="4"/>
      <c r="L494" s="3"/>
    </row>
    <row r="495" spans="1:12" ht="15.75" thickBot="1">
      <c r="A495" s="3"/>
      <c r="B495" s="3"/>
      <c r="C495" s="3"/>
      <c r="D495" s="2"/>
      <c r="E495" s="12"/>
      <c r="F495" s="12"/>
      <c r="G495" s="3"/>
      <c r="H495" s="4"/>
      <c r="I495" s="4"/>
      <c r="J495" s="4"/>
      <c r="K495" s="4"/>
      <c r="L495" s="3"/>
    </row>
    <row r="496" spans="1:12" ht="15.75" thickBot="1">
      <c r="A496" s="3"/>
      <c r="B496" s="3"/>
      <c r="C496" s="3"/>
      <c r="D496" s="2"/>
      <c r="E496" s="12"/>
      <c r="F496" s="12"/>
      <c r="G496" s="3"/>
      <c r="H496" s="4"/>
      <c r="I496" s="4"/>
      <c r="J496" s="4"/>
      <c r="K496" s="4"/>
      <c r="L496" s="3"/>
    </row>
    <row r="497" spans="1:12" ht="15.75" thickBot="1">
      <c r="A497" s="3"/>
      <c r="B497" s="3"/>
      <c r="C497" s="3"/>
      <c r="D497" s="2"/>
      <c r="E497" s="12"/>
      <c r="F497" s="12"/>
      <c r="G497" s="3"/>
      <c r="H497" s="4"/>
      <c r="I497" s="4"/>
      <c r="J497" s="4"/>
      <c r="K497" s="4"/>
      <c r="L497" s="3"/>
    </row>
    <row r="498" spans="1:12" ht="15.75" thickBot="1">
      <c r="A498" s="3"/>
      <c r="B498" s="3"/>
      <c r="C498" s="3"/>
      <c r="D498" s="2"/>
      <c r="E498" s="12"/>
      <c r="F498" s="12"/>
      <c r="G498" s="3"/>
      <c r="H498" s="4"/>
      <c r="I498" s="4"/>
      <c r="J498" s="4"/>
      <c r="K498" s="4"/>
      <c r="L498" s="3"/>
    </row>
    <row r="499" spans="1:12" ht="15.75" thickBot="1">
      <c r="A499" s="3"/>
      <c r="B499" s="3"/>
      <c r="C499" s="3"/>
      <c r="D499" s="2"/>
      <c r="E499" s="12"/>
      <c r="F499" s="12"/>
      <c r="G499" s="3"/>
      <c r="H499" s="4"/>
      <c r="I499" s="4"/>
      <c r="J499" s="4"/>
      <c r="K499" s="4"/>
      <c r="L499" s="3"/>
    </row>
    <row r="500" spans="1:12" ht="15.75" thickBot="1">
      <c r="A500" s="3"/>
      <c r="B500" s="3"/>
      <c r="C500" s="3"/>
      <c r="D500" s="2"/>
      <c r="E500" s="12"/>
      <c r="F500" s="12"/>
      <c r="G500" s="3"/>
      <c r="H500" s="4"/>
      <c r="I500" s="4"/>
      <c r="J500" s="4"/>
      <c r="K500" s="4"/>
      <c r="L500" s="3"/>
    </row>
    <row r="501" spans="1:12" ht="15.75" thickBot="1">
      <c r="A501" s="3"/>
      <c r="B501" s="3"/>
      <c r="C501" s="3"/>
      <c r="D501" s="2"/>
      <c r="E501" s="12"/>
      <c r="F501" s="12"/>
      <c r="G501" s="3"/>
      <c r="H501" s="4"/>
      <c r="I501" s="4"/>
      <c r="J501" s="4"/>
      <c r="K501" s="4"/>
      <c r="L501" s="3"/>
    </row>
    <row r="502" spans="1:12" ht="15.75" thickBot="1">
      <c r="A502" s="3"/>
      <c r="B502" s="3"/>
      <c r="C502" s="3"/>
      <c r="D502" s="2"/>
      <c r="E502" s="12"/>
      <c r="F502" s="12"/>
      <c r="G502" s="3"/>
      <c r="H502" s="4"/>
      <c r="I502" s="4"/>
      <c r="J502" s="4"/>
      <c r="K502" s="4"/>
      <c r="L502" s="3"/>
    </row>
    <row r="503" spans="1:12" ht="15.75" thickBot="1">
      <c r="A503" s="3"/>
      <c r="B503" s="3"/>
      <c r="C503" s="3"/>
      <c r="D503" s="2"/>
      <c r="E503" s="12"/>
      <c r="F503" s="12"/>
      <c r="G503" s="3"/>
      <c r="H503" s="4"/>
      <c r="I503" s="4"/>
      <c r="J503" s="4"/>
      <c r="K503" s="4"/>
      <c r="L503" s="3"/>
    </row>
    <row r="504" spans="1:12" ht="15.75" thickBot="1">
      <c r="A504" s="3"/>
      <c r="B504" s="3"/>
      <c r="C504" s="3"/>
      <c r="D504" s="2"/>
      <c r="E504" s="12"/>
      <c r="F504" s="12"/>
      <c r="G504" s="3"/>
      <c r="H504" s="4"/>
      <c r="I504" s="4"/>
      <c r="J504" s="4"/>
      <c r="K504" s="4"/>
      <c r="L504" s="3"/>
    </row>
    <row r="505" spans="1:12" ht="15.75" thickBot="1">
      <c r="A505" s="3"/>
      <c r="B505" s="3"/>
      <c r="C505" s="3"/>
      <c r="D505" s="2"/>
      <c r="E505" s="12"/>
      <c r="F505" s="12"/>
      <c r="G505" s="3"/>
      <c r="H505" s="4"/>
      <c r="I505" s="4"/>
      <c r="J505" s="4"/>
      <c r="K505" s="4"/>
      <c r="L505" s="3"/>
    </row>
    <row r="506" spans="1:12" ht="15.75" thickBot="1">
      <c r="A506" s="3"/>
      <c r="B506" s="3"/>
      <c r="C506" s="3"/>
      <c r="D506" s="2"/>
      <c r="E506" s="12"/>
      <c r="F506" s="12"/>
      <c r="G506" s="3"/>
      <c r="H506" s="4"/>
      <c r="I506" s="4"/>
      <c r="J506" s="4"/>
      <c r="K506" s="4"/>
      <c r="L506" s="3"/>
    </row>
    <row r="507" spans="1:12" ht="15.75" thickBot="1">
      <c r="A507" s="3"/>
      <c r="B507" s="3"/>
      <c r="C507" s="3"/>
      <c r="D507" s="2"/>
      <c r="E507" s="12"/>
      <c r="F507" s="12"/>
      <c r="G507" s="3"/>
      <c r="H507" s="4"/>
      <c r="I507" s="4"/>
      <c r="J507" s="4"/>
      <c r="K507" s="4"/>
      <c r="L507" s="3"/>
    </row>
    <row r="508" spans="1:12" ht="15.75" thickBot="1">
      <c r="A508" s="3"/>
      <c r="B508" s="3"/>
      <c r="C508" s="3"/>
      <c r="D508" s="2"/>
      <c r="E508" s="12"/>
      <c r="F508" s="12"/>
      <c r="G508" s="3"/>
      <c r="H508" s="4"/>
      <c r="I508" s="4"/>
      <c r="J508" s="4"/>
      <c r="K508" s="4"/>
      <c r="L508" s="3"/>
    </row>
    <row r="509" spans="1:12" ht="15.75" thickBot="1">
      <c r="A509" s="3"/>
      <c r="B509" s="3"/>
      <c r="C509" s="3"/>
      <c r="D509" s="2"/>
      <c r="E509" s="12"/>
      <c r="F509" s="12"/>
      <c r="G509" s="3"/>
      <c r="H509" s="4"/>
      <c r="I509" s="4"/>
      <c r="J509" s="4"/>
      <c r="K509" s="4"/>
      <c r="L509" s="3"/>
    </row>
    <row r="510" spans="1:12" ht="15.75" thickBot="1">
      <c r="A510" s="3"/>
      <c r="B510" s="3"/>
      <c r="C510" s="3"/>
      <c r="D510" s="2"/>
      <c r="E510" s="12"/>
      <c r="F510" s="12"/>
      <c r="G510" s="3"/>
      <c r="H510" s="4"/>
      <c r="I510" s="4"/>
      <c r="J510" s="4"/>
      <c r="K510" s="4"/>
      <c r="L510" s="3"/>
    </row>
    <row r="511" spans="1:12" ht="15.75" thickBot="1">
      <c r="A511" s="3"/>
      <c r="B511" s="3"/>
      <c r="C511" s="3"/>
      <c r="D511" s="2"/>
      <c r="E511" s="12"/>
      <c r="F511" s="12"/>
      <c r="G511" s="3"/>
      <c r="H511" s="4"/>
      <c r="I511" s="4"/>
      <c r="J511" s="4"/>
      <c r="K511" s="4"/>
      <c r="L511" s="3"/>
    </row>
    <row r="512" spans="1:12" ht="15.75" thickBot="1">
      <c r="A512" s="3"/>
      <c r="B512" s="3"/>
      <c r="C512" s="3"/>
      <c r="D512" s="2"/>
      <c r="E512" s="12"/>
      <c r="F512" s="12"/>
      <c r="G512" s="3"/>
      <c r="H512" s="4"/>
      <c r="I512" s="4"/>
      <c r="J512" s="4"/>
      <c r="K512" s="4"/>
      <c r="L512" s="3"/>
    </row>
    <row r="513" spans="1:12" ht="15.75" thickBot="1">
      <c r="A513" s="3"/>
      <c r="B513" s="3"/>
      <c r="C513" s="3"/>
      <c r="D513" s="2"/>
      <c r="E513" s="12"/>
      <c r="F513" s="12"/>
      <c r="G513" s="3"/>
      <c r="H513" s="4"/>
      <c r="I513" s="4"/>
      <c r="J513" s="4"/>
      <c r="K513" s="4"/>
      <c r="L513" s="3"/>
    </row>
    <row r="514" spans="1:12" ht="15.75" thickBot="1">
      <c r="A514" s="3"/>
      <c r="B514" s="3"/>
      <c r="C514" s="3"/>
      <c r="D514" s="2"/>
      <c r="E514" s="12"/>
      <c r="F514" s="12"/>
      <c r="G514" s="3"/>
      <c r="H514" s="4"/>
      <c r="I514" s="4"/>
      <c r="J514" s="4"/>
      <c r="K514" s="4"/>
      <c r="L514" s="3"/>
    </row>
    <row r="515" spans="1:12" ht="15.75" thickBot="1">
      <c r="A515" s="3"/>
      <c r="B515" s="3"/>
      <c r="C515" s="3"/>
      <c r="D515" s="2"/>
      <c r="E515" s="12"/>
      <c r="F515" s="12"/>
      <c r="G515" s="3"/>
      <c r="H515" s="4"/>
      <c r="I515" s="4"/>
      <c r="J515" s="4"/>
      <c r="K515" s="4"/>
      <c r="L515" s="3"/>
    </row>
    <row r="516" spans="1:12" ht="15.75" thickBot="1">
      <c r="A516" s="3"/>
      <c r="B516" s="3"/>
      <c r="C516" s="3"/>
      <c r="D516" s="2"/>
      <c r="E516" s="12"/>
      <c r="F516" s="12"/>
      <c r="G516" s="3"/>
      <c r="H516" s="4"/>
      <c r="I516" s="4"/>
      <c r="J516" s="4"/>
      <c r="K516" s="4"/>
      <c r="L516" s="3"/>
    </row>
    <row r="517" spans="1:12" ht="15.75" thickBot="1">
      <c r="A517" s="3"/>
      <c r="B517" s="3"/>
      <c r="C517" s="3"/>
      <c r="D517" s="2"/>
      <c r="E517" s="12"/>
      <c r="F517" s="12"/>
      <c r="G517" s="3"/>
      <c r="H517" s="4"/>
      <c r="I517" s="4"/>
      <c r="J517" s="4"/>
      <c r="K517" s="4"/>
      <c r="L517" s="3"/>
    </row>
    <row r="518" spans="1:12" ht="15.75" thickBot="1">
      <c r="A518" s="3"/>
      <c r="B518" s="3"/>
      <c r="C518" s="3"/>
      <c r="D518" s="2"/>
      <c r="E518" s="12"/>
      <c r="F518" s="12"/>
      <c r="G518" s="3"/>
      <c r="H518" s="4"/>
      <c r="I518" s="4"/>
      <c r="J518" s="4"/>
      <c r="K518" s="4"/>
      <c r="L518" s="3"/>
    </row>
    <row r="519" spans="1:12" ht="15.75" thickBot="1">
      <c r="A519" s="3"/>
      <c r="B519" s="3"/>
      <c r="C519" s="3"/>
      <c r="D519" s="2"/>
      <c r="E519" s="12"/>
      <c r="F519" s="12"/>
      <c r="G519" s="3"/>
      <c r="H519" s="4"/>
      <c r="I519" s="4"/>
      <c r="J519" s="4"/>
      <c r="K519" s="4"/>
      <c r="L519" s="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3C43-BE67-4BB5-8C6F-0A5CE7F43308}">
  <dimension ref="A1:C79"/>
  <sheetViews>
    <sheetView workbookViewId="0">
      <selection activeCell="A22" sqref="A22"/>
    </sheetView>
  </sheetViews>
  <sheetFormatPr defaultRowHeight="15"/>
  <cols>
    <col min="1" max="1" width="10" customWidth="1"/>
    <col min="2" max="2" width="137.140625" bestFit="1" customWidth="1"/>
    <col min="3" max="3" width="24.7109375" bestFit="1" customWidth="1"/>
    <col min="4" max="4" width="29.42578125" bestFit="1" customWidth="1"/>
    <col min="5" max="5" width="7" bestFit="1" customWidth="1"/>
    <col min="6" max="6" width="10.7109375" bestFit="1" customWidth="1"/>
  </cols>
  <sheetData>
    <row r="1" spans="1:3">
      <c r="A1" s="76" t="s">
        <v>7</v>
      </c>
      <c r="B1" t="s">
        <v>471</v>
      </c>
    </row>
    <row r="2" spans="1:3">
      <c r="A2" s="76" t="s">
        <v>8</v>
      </c>
      <c r="B2" t="s">
        <v>471</v>
      </c>
    </row>
    <row r="3" spans="1:3">
      <c r="A3" s="76" t="s">
        <v>9</v>
      </c>
      <c r="B3" t="s">
        <v>471</v>
      </c>
    </row>
    <row r="4" spans="1:3">
      <c r="A4" s="76" t="s">
        <v>10</v>
      </c>
      <c r="B4" t="s">
        <v>471</v>
      </c>
    </row>
    <row r="5" spans="1:3">
      <c r="A5" s="76" t="s">
        <v>11</v>
      </c>
      <c r="B5" t="s">
        <v>471</v>
      </c>
    </row>
    <row r="6" spans="1:3">
      <c r="A6" s="76" t="s">
        <v>12</v>
      </c>
      <c r="B6" t="s">
        <v>471</v>
      </c>
    </row>
    <row r="8" spans="1:3">
      <c r="A8" s="76" t="s">
        <v>1</v>
      </c>
      <c r="B8" s="76" t="s">
        <v>2</v>
      </c>
      <c r="C8" t="s">
        <v>472</v>
      </c>
    </row>
    <row r="9" spans="1:3">
      <c r="A9" t="s">
        <v>161</v>
      </c>
      <c r="C9" s="82">
        <v>2</v>
      </c>
    </row>
    <row r="10" spans="1:3">
      <c r="A10" t="s">
        <v>166</v>
      </c>
      <c r="C10" s="82">
        <v>2</v>
      </c>
    </row>
    <row r="11" spans="1:3">
      <c r="A11" t="s">
        <v>181</v>
      </c>
      <c r="C11" s="82">
        <v>2</v>
      </c>
    </row>
    <row r="12" spans="1:3">
      <c r="A12" t="s">
        <v>135</v>
      </c>
      <c r="C12" s="82">
        <v>1</v>
      </c>
    </row>
    <row r="13" spans="1:3">
      <c r="A13" t="s">
        <v>171</v>
      </c>
      <c r="C13" s="82">
        <v>1</v>
      </c>
    </row>
    <row r="14" spans="1:3">
      <c r="A14" t="s">
        <v>175</v>
      </c>
      <c r="C14" s="82">
        <v>3</v>
      </c>
    </row>
    <row r="15" spans="1:3">
      <c r="A15" t="s">
        <v>193</v>
      </c>
      <c r="C15" s="82">
        <v>2</v>
      </c>
    </row>
    <row r="16" spans="1:3">
      <c r="A16" t="s">
        <v>141</v>
      </c>
      <c r="C16" s="82">
        <v>1</v>
      </c>
    </row>
    <row r="17" spans="1:3">
      <c r="A17" t="s">
        <v>191</v>
      </c>
      <c r="C17" s="82">
        <v>1</v>
      </c>
    </row>
    <row r="18" spans="1:3">
      <c r="A18" t="s">
        <v>27</v>
      </c>
      <c r="C18" s="82">
        <v>4</v>
      </c>
    </row>
    <row r="19" spans="1:3">
      <c r="A19" t="s">
        <v>157</v>
      </c>
      <c r="C19" s="82">
        <v>1</v>
      </c>
    </row>
    <row r="20" spans="1:3">
      <c r="A20" t="s">
        <v>144</v>
      </c>
      <c r="C20" s="82">
        <v>2</v>
      </c>
    </row>
    <row r="21" spans="1:3">
      <c r="A21" t="s">
        <v>151</v>
      </c>
      <c r="C21" s="82">
        <v>3</v>
      </c>
    </row>
    <row r="22" spans="1:3">
      <c r="A22" t="s">
        <v>169</v>
      </c>
      <c r="C22" s="82">
        <v>1</v>
      </c>
    </row>
    <row r="23" spans="1:3">
      <c r="A23" t="s">
        <v>473</v>
      </c>
      <c r="B23" t="s">
        <v>88</v>
      </c>
      <c r="C23" s="82">
        <v>1</v>
      </c>
    </row>
    <row r="24" spans="1:3">
      <c r="B24" t="s">
        <v>78</v>
      </c>
      <c r="C24" s="82">
        <v>1</v>
      </c>
    </row>
    <row r="25" spans="1:3">
      <c r="B25" t="s">
        <v>474</v>
      </c>
      <c r="C25" s="82">
        <v>1</v>
      </c>
    </row>
    <row r="26" spans="1:3">
      <c r="B26" t="s">
        <v>475</v>
      </c>
      <c r="C26" s="82">
        <v>1</v>
      </c>
    </row>
    <row r="27" spans="1:3">
      <c r="B27" t="s">
        <v>41</v>
      </c>
      <c r="C27" s="82">
        <v>1</v>
      </c>
    </row>
    <row r="28" spans="1:3">
      <c r="B28" t="s">
        <v>207</v>
      </c>
      <c r="C28" s="82">
        <v>1</v>
      </c>
    </row>
    <row r="29" spans="1:3">
      <c r="B29" t="s">
        <v>200</v>
      </c>
      <c r="C29" s="82">
        <v>1</v>
      </c>
    </row>
    <row r="30" spans="1:3">
      <c r="B30" t="s">
        <v>202</v>
      </c>
      <c r="C30" s="82">
        <v>1</v>
      </c>
    </row>
    <row r="31" spans="1:3">
      <c r="B31" t="s">
        <v>213</v>
      </c>
      <c r="C31" s="82">
        <v>1</v>
      </c>
    </row>
    <row r="32" spans="1:3">
      <c r="B32" t="s">
        <v>217</v>
      </c>
      <c r="C32" s="82">
        <v>1</v>
      </c>
    </row>
    <row r="33" spans="2:3">
      <c r="B33" t="s">
        <v>476</v>
      </c>
      <c r="C33" s="82">
        <v>1</v>
      </c>
    </row>
    <row r="34" spans="2:3">
      <c r="B34" t="s">
        <v>59</v>
      </c>
      <c r="C34" s="82">
        <v>1</v>
      </c>
    </row>
    <row r="35" spans="2:3">
      <c r="B35" t="s">
        <v>225</v>
      </c>
      <c r="C35" s="82">
        <v>1</v>
      </c>
    </row>
    <row r="36" spans="2:3">
      <c r="B36" t="s">
        <v>90</v>
      </c>
      <c r="C36" s="82">
        <v>1</v>
      </c>
    </row>
    <row r="37" spans="2:3">
      <c r="B37" t="s">
        <v>102</v>
      </c>
      <c r="C37" s="82">
        <v>1</v>
      </c>
    </row>
    <row r="38" spans="2:3">
      <c r="B38" t="s">
        <v>37</v>
      </c>
      <c r="C38" s="82">
        <v>1</v>
      </c>
    </row>
    <row r="39" spans="2:3">
      <c r="B39" t="s">
        <v>87</v>
      </c>
      <c r="C39" s="82">
        <v>1</v>
      </c>
    </row>
    <row r="40" spans="2:3">
      <c r="B40" t="s">
        <v>98</v>
      </c>
      <c r="C40" s="82">
        <v>1</v>
      </c>
    </row>
    <row r="41" spans="2:3">
      <c r="B41" t="s">
        <v>97</v>
      </c>
      <c r="C41" s="82">
        <v>1</v>
      </c>
    </row>
    <row r="42" spans="2:3">
      <c r="B42" t="s">
        <v>99</v>
      </c>
      <c r="C42" s="82">
        <v>1</v>
      </c>
    </row>
    <row r="43" spans="2:3">
      <c r="B43" t="s">
        <v>100</v>
      </c>
      <c r="C43" s="82">
        <v>1</v>
      </c>
    </row>
    <row r="44" spans="2:3">
      <c r="B44" t="s">
        <v>95</v>
      </c>
      <c r="C44" s="82">
        <v>1</v>
      </c>
    </row>
    <row r="45" spans="2:3">
      <c r="B45" t="s">
        <v>96</v>
      </c>
      <c r="C45" s="82">
        <v>1</v>
      </c>
    </row>
    <row r="46" spans="2:3">
      <c r="B46" t="s">
        <v>94</v>
      </c>
      <c r="C46" s="82">
        <v>1</v>
      </c>
    </row>
    <row r="47" spans="2:3">
      <c r="B47" t="s">
        <v>25</v>
      </c>
      <c r="C47" s="82">
        <v>1</v>
      </c>
    </row>
    <row r="48" spans="2:3">
      <c r="B48" t="s">
        <v>16</v>
      </c>
      <c r="C48" s="82">
        <v>1</v>
      </c>
    </row>
    <row r="49" spans="2:3">
      <c r="B49" t="s">
        <v>216</v>
      </c>
      <c r="C49" s="82">
        <v>1</v>
      </c>
    </row>
    <row r="50" spans="2:3">
      <c r="B50" t="s">
        <v>84</v>
      </c>
      <c r="C50" s="82">
        <v>1</v>
      </c>
    </row>
    <row r="51" spans="2:3">
      <c r="B51" t="s">
        <v>199</v>
      </c>
      <c r="C51" s="82">
        <v>1</v>
      </c>
    </row>
    <row r="52" spans="2:3">
      <c r="B52" t="s">
        <v>120</v>
      </c>
      <c r="C52" s="82">
        <v>1</v>
      </c>
    </row>
    <row r="53" spans="2:3">
      <c r="B53" t="s">
        <v>119</v>
      </c>
      <c r="C53" s="82">
        <v>1</v>
      </c>
    </row>
    <row r="54" spans="2:3">
      <c r="B54" t="s">
        <v>131</v>
      </c>
      <c r="C54" s="82">
        <v>1</v>
      </c>
    </row>
    <row r="55" spans="2:3">
      <c r="B55" t="s">
        <v>82</v>
      </c>
      <c r="C55" s="82">
        <v>1</v>
      </c>
    </row>
    <row r="56" spans="2:3">
      <c r="B56" t="s">
        <v>56</v>
      </c>
      <c r="C56" s="82">
        <v>1</v>
      </c>
    </row>
    <row r="57" spans="2:3">
      <c r="B57" t="s">
        <v>121</v>
      </c>
      <c r="C57" s="82">
        <v>1</v>
      </c>
    </row>
    <row r="58" spans="2:3">
      <c r="B58" t="s">
        <v>73</v>
      </c>
      <c r="C58" s="82">
        <v>1</v>
      </c>
    </row>
    <row r="59" spans="2:3">
      <c r="B59" t="s">
        <v>173</v>
      </c>
      <c r="C59" s="82">
        <v>1</v>
      </c>
    </row>
    <row r="60" spans="2:3">
      <c r="B60" t="s">
        <v>116</v>
      </c>
      <c r="C60" s="82">
        <v>1</v>
      </c>
    </row>
    <row r="61" spans="2:3">
      <c r="B61" t="s">
        <v>122</v>
      </c>
      <c r="C61" s="82">
        <v>1</v>
      </c>
    </row>
    <row r="62" spans="2:3">
      <c r="B62" t="s">
        <v>203</v>
      </c>
      <c r="C62" s="82">
        <v>1</v>
      </c>
    </row>
    <row r="63" spans="2:3">
      <c r="B63" t="s">
        <v>221</v>
      </c>
      <c r="C63" s="82">
        <v>1</v>
      </c>
    </row>
    <row r="64" spans="2:3">
      <c r="B64" t="s">
        <v>223</v>
      </c>
      <c r="C64" s="82">
        <v>1</v>
      </c>
    </row>
    <row r="65" spans="1:3">
      <c r="B65" t="s">
        <v>210</v>
      </c>
      <c r="C65" s="82">
        <v>1</v>
      </c>
    </row>
    <row r="66" spans="1:3">
      <c r="B66" t="s">
        <v>228</v>
      </c>
      <c r="C66" s="82">
        <v>1</v>
      </c>
    </row>
    <row r="67" spans="1:3">
      <c r="B67" t="s">
        <v>28</v>
      </c>
      <c r="C67" s="82">
        <v>1</v>
      </c>
    </row>
    <row r="68" spans="1:3">
      <c r="B68" t="s">
        <v>69</v>
      </c>
      <c r="C68" s="82">
        <v>1</v>
      </c>
    </row>
    <row r="69" spans="1:3">
      <c r="B69" t="s">
        <v>111</v>
      </c>
      <c r="C69" s="82">
        <v>1</v>
      </c>
    </row>
    <row r="70" spans="1:3">
      <c r="B70" t="s">
        <v>106</v>
      </c>
      <c r="C70" s="82">
        <v>1</v>
      </c>
    </row>
    <row r="71" spans="1:3">
      <c r="B71" t="s">
        <v>113</v>
      </c>
      <c r="C71" s="82">
        <v>1</v>
      </c>
    </row>
    <row r="72" spans="1:3">
      <c r="B72" t="s">
        <v>124</v>
      </c>
      <c r="C72" s="82">
        <v>1</v>
      </c>
    </row>
    <row r="73" spans="1:3">
      <c r="B73" t="s">
        <v>198</v>
      </c>
      <c r="C73" s="82">
        <v>1</v>
      </c>
    </row>
    <row r="74" spans="1:3">
      <c r="B74" t="s">
        <v>128</v>
      </c>
      <c r="C74" s="82">
        <v>1</v>
      </c>
    </row>
    <row r="75" spans="1:3">
      <c r="B75" t="s">
        <v>66</v>
      </c>
      <c r="C75" s="82">
        <v>1</v>
      </c>
    </row>
    <row r="76" spans="1:3">
      <c r="B76" t="s">
        <v>63</v>
      </c>
      <c r="C76" s="82">
        <v>1</v>
      </c>
    </row>
    <row r="77" spans="1:3">
      <c r="B77" t="s">
        <v>205</v>
      </c>
      <c r="C77" s="82">
        <v>1</v>
      </c>
    </row>
    <row r="78" spans="1:3">
      <c r="A78" t="s">
        <v>477</v>
      </c>
      <c r="C78" s="82">
        <v>55</v>
      </c>
    </row>
    <row r="79" spans="1:3">
      <c r="A79" t="s">
        <v>478</v>
      </c>
      <c r="C79" s="82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Indicadores PFGP</vt:lpstr>
      <vt:lpstr>Mapeamento informações</vt:lpstr>
      <vt:lpstr>Modelo Dados</vt:lpstr>
      <vt:lpstr>Marco Lógico Políticas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Wesley De Jesus Silva</dc:creator>
  <cp:keywords/>
  <dc:description/>
  <cp:lastModifiedBy>Wesley de Jesus Silva</cp:lastModifiedBy>
  <cp:revision/>
  <dcterms:created xsi:type="dcterms:W3CDTF">2026-03-18T21:02:01Z</dcterms:created>
  <dcterms:modified xsi:type="dcterms:W3CDTF">2026-07-02T15:09:16Z</dcterms:modified>
  <cp:category/>
  <cp:contentStatus/>
</cp:coreProperties>
</file>